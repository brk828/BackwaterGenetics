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BackwaterGenetics\data\"/>
    </mc:Choice>
  </mc:AlternateContent>
  <xr:revisionPtr revIDLastSave="0" documentId="8_{6F592BE4-C74C-4E81-9432-C5EA23FFA1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D Base" sheetId="1" r:id="rId1"/>
    <sheet name="Pre-tagging form" sheetId="2" r:id="rId2"/>
    <sheet name="Post tagging form" sheetId="3" r:id="rId3"/>
    <sheet name="Post event data management" sheetId="4" r:id="rId4"/>
    <sheet name="Workbook data" sheetId="5" r:id="rId5"/>
    <sheet name="Non-Na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E12" i="4" s="1"/>
  <c r="E10" i="4"/>
  <c r="B31" i="3" l="1"/>
  <c r="B30" i="3"/>
  <c r="B29" i="3"/>
  <c r="B27" i="3"/>
  <c r="B26" i="3"/>
  <c r="B25" i="3"/>
  <c r="B19" i="3"/>
</calcChain>
</file>

<file path=xl/sharedStrings.xml><?xml version="1.0" encoding="utf-8"?>
<sst xmlns="http://schemas.openxmlformats.org/spreadsheetml/2006/main" count="924" uniqueCount="406">
  <si>
    <t>Tag Code</t>
  </si>
  <si>
    <t>Time Stamp</t>
  </si>
  <si>
    <t>Length/mm</t>
  </si>
  <si>
    <t>Weight/g</t>
  </si>
  <si>
    <t>(Pre-Tagging Form) Locked Column</t>
  </si>
  <si>
    <t>Action</t>
  </si>
  <si>
    <t>Action "B" Column</t>
  </si>
  <si>
    <t>Techs</t>
  </si>
  <si>
    <t>TEXT</t>
  </si>
  <si>
    <t>Manual input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</si>
  <si>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Event Start Date: yy /mm /dd</t>
    </r>
  </si>
  <si>
    <t>Right click cell/insert date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</si>
  <si>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Event End Date: yy/mm/dd</t>
    </r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</si>
  <si>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Tagging Facility</t>
    </r>
  </si>
  <si>
    <t>Drop-down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</si>
  <si>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Species:</t>
    </r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</si>
  <si>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Source</t>
    </r>
  </si>
  <si>
    <t>Year Class</t>
  </si>
  <si>
    <r>
      <t xml:space="preserve">                              </t>
    </r>
    <r>
      <rPr>
        <b/>
        <sz val="14"/>
        <color theme="1"/>
        <rFont val="Calibri"/>
        <family val="2"/>
        <scheme val="minor"/>
      </rPr>
      <t xml:space="preserve"> *</t>
    </r>
    <r>
      <rPr>
        <sz val="11"/>
        <color theme="1"/>
        <rFont val="Calibri"/>
        <family val="2"/>
        <scheme val="minor"/>
      </rPr>
      <t>Pond/Raceway #</t>
    </r>
  </si>
  <si>
    <t>Text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</si>
  <si>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Tag Type(If wire tagged, go to "Wire Tag Location")</t>
    </r>
  </si>
  <si>
    <t>PIT Tag Frequency:  134kh</t>
  </si>
  <si>
    <t>LOCKED FIELD</t>
  </si>
  <si>
    <t>Locked</t>
  </si>
  <si>
    <t>Number of wire tags only</t>
  </si>
  <si>
    <r>
      <rPr>
        <b/>
        <sz val="14"/>
        <color theme="1"/>
        <rFont val="Calibri"/>
        <family val="2"/>
        <scheme val="minor"/>
      </rPr>
      <t xml:space="preserve">*Common </t>
    </r>
    <r>
      <rPr>
        <sz val="11"/>
        <color theme="1"/>
        <rFont val="Calibri"/>
        <family val="2"/>
        <scheme val="minor"/>
      </rPr>
      <t>Wire Tag Location</t>
    </r>
  </si>
  <si>
    <r>
      <rPr>
        <b/>
        <sz val="14"/>
        <color theme="1"/>
        <rFont val="Calibri"/>
        <family val="2"/>
        <scheme val="minor"/>
      </rPr>
      <t xml:space="preserve">*Unusual </t>
    </r>
    <r>
      <rPr>
        <sz val="11"/>
        <color theme="1"/>
        <rFont val="Calibri"/>
        <family val="2"/>
        <scheme val="minor"/>
      </rPr>
      <t>Wire Tag Location</t>
    </r>
  </si>
  <si>
    <t>Comments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</si>
  <si>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Growth Study (Y/N)</t>
    </r>
  </si>
  <si>
    <t xml:space="preserve">        IF Y, THEN: NEW WINDOW OPENS:</t>
  </si>
  <si>
    <t xml:space="preserve">                               Event Date #: yy/mm/dd</t>
  </si>
  <si>
    <t>DATE</t>
  </si>
  <si>
    <t xml:space="preserve">                               Iteration #</t>
  </si>
  <si>
    <t>OPEN A GROWTH STUDY FORM TO ADD NEW ITERATION</t>
  </si>
  <si>
    <t>SEARCH BY CRITERIA; DROPDOWN MENU</t>
  </si>
  <si>
    <t xml:space="preserve">        IF N, THEN: GO TO IDBASE PROCEDURE</t>
  </si>
  <si>
    <t>(Post-Tagging Form)Locked Column</t>
  </si>
  <si>
    <t xml:space="preserve">Action for Column "B" </t>
  </si>
  <si>
    <t>Upload completed IDBASE .xls File</t>
  </si>
  <si>
    <t>UPLOAD RADIO BUTTON</t>
  </si>
  <si>
    <r>
      <rPr>
        <b/>
        <sz val="12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Stocking Location</t>
    </r>
  </si>
  <si>
    <t>UTM Zone: 11S</t>
  </si>
  <si>
    <t>Locked field</t>
  </si>
  <si>
    <t>UTM EASTING</t>
  </si>
  <si>
    <t>NUMBER (7 DIGITS)</t>
  </si>
  <si>
    <t>UTM NORTHING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</si>
  <si>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Stocking Date: yy /mm /dd</t>
    </r>
  </si>
  <si>
    <t>Right click/Insert Date</t>
  </si>
  <si>
    <t>Right click cell/Insert Date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</si>
  <si>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Stocking Reach</t>
    </r>
  </si>
  <si>
    <t>Total Mortalities</t>
  </si>
  <si>
    <t xml:space="preserve">                        Mort Radio Button:</t>
  </si>
  <si>
    <t>Enter PIT #s: 0000000000 (10 character Code)</t>
  </si>
  <si>
    <t xml:space="preserve">                         </t>
  </si>
  <si>
    <t>(Up to 20 Unique Tags)</t>
  </si>
  <si>
    <t>Total PIT Tagged Fish Stocked</t>
  </si>
  <si>
    <t>NUMBER</t>
  </si>
  <si>
    <t>Total WIRE Tagged Fish Stocked</t>
  </si>
  <si>
    <r>
      <t xml:space="preserve">Total Fish </t>
    </r>
    <r>
      <rPr>
        <sz val="11"/>
        <color theme="1"/>
        <rFont val="Calibri"/>
        <family val="2"/>
      </rPr>
      <t xml:space="preserve">≥ 300 mm </t>
    </r>
    <r>
      <rPr>
        <sz val="11"/>
        <color theme="1"/>
        <rFont val="Calibri"/>
        <family val="2"/>
        <scheme val="minor"/>
      </rPr>
      <t>Stocked/Data base</t>
    </r>
  </si>
  <si>
    <t>Auto generated/Locked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</si>
  <si>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Fish Stocked &lt; 300 mm (Y/N)</t>
    </r>
  </si>
  <si>
    <t xml:space="preserve">        IF Y, THEN: TOTAL/AVG/MIN/MAX OPENS</t>
  </si>
  <si>
    <t xml:space="preserve">        IF N, THEN: PROCEED TO NEXT INPUT FIELD</t>
  </si>
  <si>
    <t>Average Length (mm)</t>
  </si>
  <si>
    <t>Min Length (mm)</t>
  </si>
  <si>
    <t>Max Length (mm)</t>
  </si>
  <si>
    <t>Average Weight (g)</t>
  </si>
  <si>
    <t>Min Weight (g)</t>
  </si>
  <si>
    <t>Max Weight (g)</t>
  </si>
  <si>
    <t xml:space="preserve">Upload Stocking Slip (.pdf) </t>
  </si>
  <si>
    <t>[ADD SLIP AT LATER DATE]</t>
  </si>
  <si>
    <t>Add Another Stocking Location to this Event? Y/N</t>
  </si>
  <si>
    <t xml:space="preserve">           IF Y, THEN: New Post-Tagging Form Opens</t>
  </si>
  <si>
    <t xml:space="preserve">           IF N, THEN: END EVENT</t>
  </si>
  <si>
    <t>RADIO BUTTON</t>
  </si>
  <si>
    <t>(Post-Event Data Management) (Page 4)</t>
  </si>
  <si>
    <t>Manual Input</t>
  </si>
  <si>
    <r>
      <rPr>
        <b/>
        <sz val="14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SIGNIFIES REQUIRED FIELD</t>
    </r>
  </si>
  <si>
    <t>Stocking Slip(s) Provided for this Event(Y/N)</t>
  </si>
  <si>
    <t>YES</t>
  </si>
  <si>
    <t>SIGNIFIES DROP DOWN MENU</t>
  </si>
  <si>
    <t xml:space="preserve">           IF Y, THEN: PROCEED TO UPLOAD</t>
  </si>
  <si>
    <t>AUTO GENRATED FIELDS/LOCKED</t>
  </si>
  <si>
    <t xml:space="preserve">           IF N, THEN: SKIP TO COMPLETED EVENT UPLOAD</t>
  </si>
  <si>
    <t>Additional Document Download</t>
  </si>
  <si>
    <t>Upload Complete Event to Repatriation Database</t>
  </si>
  <si>
    <t>MORTs</t>
  </si>
  <si>
    <t>Manually Enter MORT Tag Number Below</t>
  </si>
  <si>
    <t>Total MORT's</t>
  </si>
  <si>
    <t>#Tagged fish/Data Base</t>
  </si>
  <si>
    <t>Final # of fish stocked after MORT's(For hatchery stocking slip only)</t>
  </si>
  <si>
    <t>SNARRC(Dexter)</t>
  </si>
  <si>
    <t>XYTE(RASU)</t>
  </si>
  <si>
    <t>P.I.T</t>
  </si>
  <si>
    <t>Right Dorsal Fin</t>
  </si>
  <si>
    <t>WBNFH(Willow Beach)</t>
  </si>
  <si>
    <t>GIEL(BONY)</t>
  </si>
  <si>
    <t>NO</t>
  </si>
  <si>
    <t>Coded Wire Tag</t>
  </si>
  <si>
    <t>Left Dorsal Fin</t>
  </si>
  <si>
    <t>BPFH(Bubbling Ponds)</t>
  </si>
  <si>
    <t>CALA(FLSU)</t>
  </si>
  <si>
    <t>P.I.T/Coded Wire Tag</t>
  </si>
  <si>
    <t>Right Pectoral Fin</t>
  </si>
  <si>
    <t>LMFH(Lake Mead)</t>
  </si>
  <si>
    <t>PTLU(COPM)</t>
  </si>
  <si>
    <t>Left Pectoral Fin</t>
  </si>
  <si>
    <t>AHNFRF(ACHII Hanyo)</t>
  </si>
  <si>
    <t>Right Pelvic Fin</t>
  </si>
  <si>
    <t>Left Pelvic Fin</t>
  </si>
  <si>
    <t xml:space="preserve">Right Caudal Peduncal </t>
  </si>
  <si>
    <t xml:space="preserve">Left Caudal Peduncal 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</si>
  <si>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Rearing facility</t>
    </r>
  </si>
  <si>
    <t>14-11-2013 13:19:17</t>
  </si>
  <si>
    <t>14-11-2013 13:19:51</t>
  </si>
  <si>
    <t>14-11-2013 13:20:15</t>
  </si>
  <si>
    <t>14-11-2013 13:20:39</t>
  </si>
  <si>
    <t>14-11-2013 13:21:01</t>
  </si>
  <si>
    <t>14-11-2013 13:21:26</t>
  </si>
  <si>
    <t>14-11-2013 13:22:08</t>
  </si>
  <si>
    <t>14-11-2013 13:22:40</t>
  </si>
  <si>
    <t>14-11-2013 13:23:04</t>
  </si>
  <si>
    <t>14-11-2013 13:23:34</t>
  </si>
  <si>
    <t>14-11-2013 13:24:07</t>
  </si>
  <si>
    <t>14-11-2013 13:25:55</t>
  </si>
  <si>
    <t>14-11-2013 13:26:39</t>
  </si>
  <si>
    <t>14-11-2013 13:27:15</t>
  </si>
  <si>
    <t>14-11-2013 13:28:08</t>
  </si>
  <si>
    <t>14-11-2013 13:28:57</t>
  </si>
  <si>
    <t>14-11-2013 13:29:35</t>
  </si>
  <si>
    <t>14-11-2013 13:30:01</t>
  </si>
  <si>
    <t>14-11-2013 13:30:41</t>
  </si>
  <si>
    <t>14-11-2013 13:30:59</t>
  </si>
  <si>
    <t>14-11-2013 13:31:26</t>
  </si>
  <si>
    <t>14-11-2013 13:31:52</t>
  </si>
  <si>
    <t>14-11-2013 13:32:22</t>
  </si>
  <si>
    <t>14-11-2013 13:32:39</t>
  </si>
  <si>
    <t>14-11-2013 13:33:27</t>
  </si>
  <si>
    <t>14-11-2013 13:34:15</t>
  </si>
  <si>
    <t>14-11-2013 13:34:41</t>
  </si>
  <si>
    <t>14-11-2013 13:35:16</t>
  </si>
  <si>
    <t>14-11-2013 13:35:47</t>
  </si>
  <si>
    <t>14-11-2013 13:36:16</t>
  </si>
  <si>
    <t>14-11-2013 13:36:43</t>
  </si>
  <si>
    <t>14-11-2013 13:37:04</t>
  </si>
  <si>
    <t>14-11-2013 13:37:26</t>
  </si>
  <si>
    <t>14-11-2013 13:37:52</t>
  </si>
  <si>
    <t>14-11-2013 13:38:23</t>
  </si>
  <si>
    <t>14-11-2013 13:38:47</t>
  </si>
  <si>
    <t>14-11-2013 13:40:09</t>
  </si>
  <si>
    <t>14-11-2013 13:41:08</t>
  </si>
  <si>
    <t>14-11-2013 13:41:42</t>
  </si>
  <si>
    <t>14-11-2013 13:42:18</t>
  </si>
  <si>
    <t>14-11-2013 13:43:18</t>
  </si>
  <si>
    <t>14-11-2013 13:43:39</t>
  </si>
  <si>
    <t>14-11-2013 13:44:08</t>
  </si>
  <si>
    <t>14-11-2013 13:44:37</t>
  </si>
  <si>
    <t>14-11-2013 13:45:02</t>
  </si>
  <si>
    <t>14-11-2013 13:45:23</t>
  </si>
  <si>
    <t>14-11-2013 13:46:07</t>
  </si>
  <si>
    <t>14-11-2013 13:46:39</t>
  </si>
  <si>
    <t>14-11-2013 13:47:08</t>
  </si>
  <si>
    <t>14-11-2013 13:47:41</t>
  </si>
  <si>
    <t>14-11-2013 13:48:06</t>
  </si>
  <si>
    <t>14-11-2013 13:48:39</t>
  </si>
  <si>
    <t>14-11-2013 13:49:13</t>
  </si>
  <si>
    <t>14-11-2013 13:49:48</t>
  </si>
  <si>
    <t>14-11-2013 13:50:10</t>
  </si>
  <si>
    <t>14-11-2013 13:50:28</t>
  </si>
  <si>
    <t>14-11-2013 13:50:59</t>
  </si>
  <si>
    <t>14-11-2013 13:52:59</t>
  </si>
  <si>
    <t>14-11-2013 13:54:05</t>
  </si>
  <si>
    <t>14-11-2013 13:54:40</t>
  </si>
  <si>
    <t>14-11-2013 13:55:12</t>
  </si>
  <si>
    <t>14-11-2013 13:55:46</t>
  </si>
  <si>
    <t>14-11-2013 13:56:07</t>
  </si>
  <si>
    <t>14-11-2013 13:56:55</t>
  </si>
  <si>
    <t>14-11-2013 13:57:17</t>
  </si>
  <si>
    <t>14-11-2013 13:57:38</t>
  </si>
  <si>
    <t>14-11-2013 13:58:00</t>
  </si>
  <si>
    <t>14-11-2013 13:58:25</t>
  </si>
  <si>
    <t>14-11-2013 13:58:49</t>
  </si>
  <si>
    <t>14-11-2013 13:59:48</t>
  </si>
  <si>
    <t>14-11-2013 14:00:58</t>
  </si>
  <si>
    <t>14-11-2013 14:01:57</t>
  </si>
  <si>
    <t>14-11-2013 14:03:07</t>
  </si>
  <si>
    <t>14-11-2013 14:04:05</t>
  </si>
  <si>
    <t>14-11-2013 14:04:29</t>
  </si>
  <si>
    <t>14-11-2013 14:04:57</t>
  </si>
  <si>
    <t>14-11-2013 14:05:24</t>
  </si>
  <si>
    <t>14-11-2013 14:05:45</t>
  </si>
  <si>
    <t>14-11-2013 14:06:14</t>
  </si>
  <si>
    <t>14-11-2013 14:06:43</t>
  </si>
  <si>
    <t>14-11-2013 14:07:16</t>
  </si>
  <si>
    <t>14-11-2013 14:08:16</t>
  </si>
  <si>
    <t>14-11-2013 14:08:55</t>
  </si>
  <si>
    <t>14-11-2013 14:09:59</t>
  </si>
  <si>
    <t>14-11-2013 14:11:13</t>
  </si>
  <si>
    <t>14-11-2013 14:11:38</t>
  </si>
  <si>
    <t>14-11-2013 14:12:05</t>
  </si>
  <si>
    <r>
      <t xml:space="preserve">Stocking Location: </t>
    </r>
    <r>
      <rPr>
        <sz val="10"/>
        <color theme="1"/>
        <rFont val="Calibri"/>
        <family val="2"/>
        <scheme val="minor"/>
      </rPr>
      <t xml:space="preserve"> All Fish Returned to Yuma Backwater</t>
    </r>
  </si>
  <si>
    <r>
      <t xml:space="preserve">Stocking Dates:   </t>
    </r>
    <r>
      <rPr>
        <sz val="10"/>
        <color theme="1"/>
        <rFont val="Calibri"/>
        <family val="2"/>
        <scheme val="minor"/>
      </rPr>
      <t>N/A</t>
    </r>
  </si>
  <si>
    <r>
      <t xml:space="preserve">Total Number Stocked:  </t>
    </r>
    <r>
      <rPr>
        <sz val="10"/>
        <color theme="1"/>
        <rFont val="Calibri"/>
        <family val="2"/>
        <scheme val="minor"/>
      </rPr>
      <t>0</t>
    </r>
  </si>
  <si>
    <t>Species</t>
  </si>
  <si>
    <t>Returned to Yuma Backwater</t>
  </si>
  <si>
    <t>Stocking Location</t>
  </si>
  <si>
    <t>Count</t>
  </si>
  <si>
    <t>RASU</t>
  </si>
  <si>
    <r>
      <rPr>
        <sz val="10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\F</t>
    </r>
  </si>
  <si>
    <r>
      <rPr>
        <sz val="10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\M</t>
    </r>
  </si>
  <si>
    <r>
      <rPr>
        <sz val="10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\Tub M</t>
    </r>
  </si>
  <si>
    <r>
      <rPr>
        <sz val="9"/>
        <color rgb="FFFF0000"/>
        <rFont val="Calibri"/>
        <family val="2"/>
        <scheme val="minor"/>
      </rPr>
      <t>New Tag</t>
    </r>
    <r>
      <rPr>
        <sz val="10"/>
        <color theme="1"/>
        <rFont val="Calibri"/>
        <family val="2"/>
        <scheme val="minor"/>
      </rPr>
      <t>\M</t>
    </r>
  </si>
  <si>
    <r>
      <t>Note:</t>
    </r>
    <r>
      <rPr>
        <b/>
        <sz val="10"/>
        <color rgb="FFFF0000"/>
        <rFont val="Calibri"/>
        <family val="2"/>
        <scheme val="minor"/>
      </rPr>
      <t xml:space="preserve"> 8 Fish given new tag during harvest</t>
    </r>
  </si>
  <si>
    <t>13-11-2013 14:21:25</t>
  </si>
  <si>
    <t>13-11-2013 14:26:31</t>
  </si>
  <si>
    <t>13-11-2013 14:28:23</t>
  </si>
  <si>
    <t>13-11-2013 14:29:15</t>
  </si>
  <si>
    <t>13-11-2013 14:30:07</t>
  </si>
  <si>
    <t>13-11-2013 14:31:08</t>
  </si>
  <si>
    <t>13-11-2013 14:32:08</t>
  </si>
  <si>
    <t>13-11-2013 14:36:55</t>
  </si>
  <si>
    <t>13-11-2013 14:38:08</t>
  </si>
  <si>
    <t>13-11-2013 14:38:51</t>
  </si>
  <si>
    <t>13-11-2013 14:39:47</t>
  </si>
  <si>
    <t>13-11-2013 14:40:53</t>
  </si>
  <si>
    <t>13-11-2013 14:41:38</t>
  </si>
  <si>
    <t>13-11-2013 14:42:25</t>
  </si>
  <si>
    <t>13-11-2013 14:43:24</t>
  </si>
  <si>
    <t>13-11-2013 14:44:11</t>
  </si>
  <si>
    <t>13-11-2013 14:44:52</t>
  </si>
  <si>
    <t>13-11-2013 14:45:42</t>
  </si>
  <si>
    <t>13-11-2013 14:51:46</t>
  </si>
  <si>
    <t>13-11-2013 14:52:49</t>
  </si>
  <si>
    <t>13-11-2013 14:53:38</t>
  </si>
  <si>
    <t>13-11-2013 14:54:11</t>
  </si>
  <si>
    <t>13-11-2013 14:55:22</t>
  </si>
  <si>
    <t>13-11-2013 14:56:10</t>
  </si>
  <si>
    <t>13-11-2013 14:56:49</t>
  </si>
  <si>
    <t>13-11-2013 14:58:02</t>
  </si>
  <si>
    <t>13-11-2013 14:59:32</t>
  </si>
  <si>
    <t>13-11-2013 15:00:16</t>
  </si>
  <si>
    <t>13-11-2013 15:01:01</t>
  </si>
  <si>
    <t>13-11-2013 15:01:53</t>
  </si>
  <si>
    <t>13-11-2013 15:02:43</t>
  </si>
  <si>
    <t>13-11-2013 15:03:51</t>
  </si>
  <si>
    <t>13-11-2013 15:04:50</t>
  </si>
  <si>
    <t>13-11-2013 15:11:24</t>
  </si>
  <si>
    <t>13-11-2013 15:11:53</t>
  </si>
  <si>
    <t>13-11-2013 15:12:30</t>
  </si>
  <si>
    <t>13-11-2013 15:13:05</t>
  </si>
  <si>
    <t>13-11-2013 15:13:40</t>
  </si>
  <si>
    <t>13-11-2013 15:14:46</t>
  </si>
  <si>
    <t>13-11-2013 15:15:08</t>
  </si>
  <si>
    <t>13-11-2013 15:15:42</t>
  </si>
  <si>
    <t>13-11-2013 15:16:32</t>
  </si>
  <si>
    <t>13-11-2013 15:17:07</t>
  </si>
  <si>
    <t>13-11-2013 15:18:01</t>
  </si>
  <si>
    <t>13-11-2013 15:18:41</t>
  </si>
  <si>
    <t>13-11-2013 15:19:19</t>
  </si>
  <si>
    <t>13-11-2013 15:20:01</t>
  </si>
  <si>
    <t>13-11-2013 15:20:46</t>
  </si>
  <si>
    <t>13-11-2013 15:21:25</t>
  </si>
  <si>
    <t>13-11-2013 15:22:28</t>
  </si>
  <si>
    <r>
      <t xml:space="preserve">Mortalities:  </t>
    </r>
    <r>
      <rPr>
        <sz val="10"/>
        <color theme="1"/>
        <rFont val="Calibri"/>
        <family val="2"/>
        <scheme val="minor"/>
      </rPr>
      <t>1  (36F2B283D0) Removed from file</t>
    </r>
  </si>
  <si>
    <r>
      <t xml:space="preserve">Total Number RASU Processed:  </t>
    </r>
    <r>
      <rPr>
        <sz val="10"/>
        <color theme="1"/>
        <rFont val="Calibri"/>
        <family val="2"/>
        <scheme val="minor"/>
      </rPr>
      <t>137</t>
    </r>
  </si>
  <si>
    <r>
      <t xml:space="preserve">Ave. Length (mm):  </t>
    </r>
    <r>
      <rPr>
        <sz val="10"/>
        <color theme="1"/>
        <rFont val="Calibri"/>
        <family val="2"/>
        <scheme val="minor"/>
      </rPr>
      <t>442</t>
    </r>
  </si>
  <si>
    <r>
      <t xml:space="preserve">Ave. Weight (g):   </t>
    </r>
    <r>
      <rPr>
        <sz val="10"/>
        <color theme="1"/>
        <rFont val="Calibri"/>
        <family val="2"/>
        <scheme val="minor"/>
      </rPr>
      <t>1075</t>
    </r>
  </si>
  <si>
    <t>Date</t>
  </si>
  <si>
    <t>36F2B28415</t>
  </si>
  <si>
    <t>36F2B2840F</t>
  </si>
  <si>
    <t>36F2B283F7</t>
  </si>
  <si>
    <t>36F2B28421</t>
  </si>
  <si>
    <t>36F2B28411</t>
  </si>
  <si>
    <t>36F2B283E4</t>
  </si>
  <si>
    <t>36F2B283D3</t>
  </si>
  <si>
    <t>36F2B283ED</t>
  </si>
  <si>
    <t>36F2B28416</t>
  </si>
  <si>
    <t>36F2B2842C</t>
  </si>
  <si>
    <t>36F2B2841D</t>
  </si>
  <si>
    <t>36F2B28414</t>
  </si>
  <si>
    <t>36F2B283DF</t>
  </si>
  <si>
    <t>36F2B283E9</t>
  </si>
  <si>
    <t>36F2B283E0</t>
  </si>
  <si>
    <t>36F2B28408</t>
  </si>
  <si>
    <t>36F2B28417</t>
  </si>
  <si>
    <t>36F2B28410</t>
  </si>
  <si>
    <t>36F2B28402</t>
  </si>
  <si>
    <t>36F2B283FC</t>
  </si>
  <si>
    <t>36F2B28420</t>
  </si>
  <si>
    <t>36F2B283FB</t>
  </si>
  <si>
    <t>36F2B28400</t>
  </si>
  <si>
    <t>36F2B283CB</t>
  </si>
  <si>
    <t>36F2B28428</t>
  </si>
  <si>
    <t>36F2B28422</t>
  </si>
  <si>
    <t>36F2B2842B</t>
  </si>
  <si>
    <t>36F2B2840B</t>
  </si>
  <si>
    <t>36F2B283E8</t>
  </si>
  <si>
    <t>36F2B283EC</t>
  </si>
  <si>
    <t>36F2B283E7</t>
  </si>
  <si>
    <t>36F2B283D4</t>
  </si>
  <si>
    <t>36F2B283FA</t>
  </si>
  <si>
    <t>36F2B283E5</t>
  </si>
  <si>
    <t>36F2B283F2</t>
  </si>
  <si>
    <t>36F2B283CC</t>
  </si>
  <si>
    <t>36F2B28413</t>
  </si>
  <si>
    <t>36F2B28419</t>
  </si>
  <si>
    <t>36F2B283F8</t>
  </si>
  <si>
    <t>36F2B283D2</t>
  </si>
  <si>
    <t>36F2B2842A</t>
  </si>
  <si>
    <t>36F2B28426</t>
  </si>
  <si>
    <t>36F2B283D1</t>
  </si>
  <si>
    <t>36F2B283EB</t>
  </si>
  <si>
    <t>36F2B28409</t>
  </si>
  <si>
    <t>36F2B283F1</t>
  </si>
  <si>
    <t>36F2B283F5</t>
  </si>
  <si>
    <t>36F2B283DD</t>
  </si>
  <si>
    <t>36F2B2841C</t>
  </si>
  <si>
    <t>36F2B283DB</t>
  </si>
  <si>
    <t>1B796EECB0</t>
  </si>
  <si>
    <t>1B796EDE5A</t>
  </si>
  <si>
    <t>1B796EEB0F</t>
  </si>
  <si>
    <t>1B796EEDC6</t>
  </si>
  <si>
    <t>1B796EEB98</t>
  </si>
  <si>
    <t>1B796EDCEF</t>
  </si>
  <si>
    <t>1B796EDD38</t>
  </si>
  <si>
    <t>1B796EDE97</t>
  </si>
  <si>
    <t>1B796EE84D</t>
  </si>
  <si>
    <t>1B796EF6D9</t>
  </si>
  <si>
    <t>1B796EE3D0</t>
  </si>
  <si>
    <t>1B796EDCA8</t>
  </si>
  <si>
    <t>1B796EE317</t>
  </si>
  <si>
    <t>1B796EF0BB</t>
  </si>
  <si>
    <t>1B796EE377</t>
  </si>
  <si>
    <t>1B796EE88D</t>
  </si>
  <si>
    <t>1B796EE972</t>
  </si>
  <si>
    <t>1B796EE60A</t>
  </si>
  <si>
    <t>1B796EE525</t>
  </si>
  <si>
    <t>1B796EE758</t>
  </si>
  <si>
    <t>1B796EE944</t>
  </si>
  <si>
    <t>1B796EE134</t>
  </si>
  <si>
    <t>1B796EEEC4</t>
  </si>
  <si>
    <t>1B796EE079</t>
  </si>
  <si>
    <t>1B796EF11C</t>
  </si>
  <si>
    <t>1B796EF101</t>
  </si>
  <si>
    <t>1B796EE347</t>
  </si>
  <si>
    <t>1B796EE4EF</t>
  </si>
  <si>
    <t>1B796EE99E</t>
  </si>
  <si>
    <t>1B796EDD0D</t>
  </si>
  <si>
    <t>1B796EEFA5</t>
  </si>
  <si>
    <t>1B796EE612</t>
  </si>
  <si>
    <t>1B796EEFE0</t>
  </si>
  <si>
    <t>1B796EF5B8</t>
  </si>
  <si>
    <t>1B796EE1E9</t>
  </si>
  <si>
    <t>1B796EEEF5</t>
  </si>
  <si>
    <t>1B796EDD6C</t>
  </si>
  <si>
    <t>1B796EE857</t>
  </si>
  <si>
    <t>1B796EE5C5</t>
  </si>
  <si>
    <t>36F2B283EF</t>
  </si>
  <si>
    <t>1B796EE275</t>
  </si>
  <si>
    <t>1B796EDCEE</t>
  </si>
  <si>
    <t>1B796EE4F5</t>
  </si>
  <si>
    <t>1B796EE3F0</t>
  </si>
  <si>
    <t>1B796EE1A8</t>
  </si>
  <si>
    <t>1B796EEA92</t>
  </si>
  <si>
    <t>1B796EEACE</t>
  </si>
  <si>
    <t>1B796EEE4C</t>
  </si>
  <si>
    <t>1B796A8C17</t>
  </si>
  <si>
    <t>1B796EEB53</t>
  </si>
  <si>
    <t>1B796EECAC</t>
  </si>
  <si>
    <t>1B796ED93F</t>
  </si>
  <si>
    <t>1B796EF075</t>
  </si>
  <si>
    <t>1B796EE435</t>
  </si>
  <si>
    <t>1B796EDF2C</t>
  </si>
  <si>
    <t>1B796EE446</t>
  </si>
  <si>
    <t>1B796EF043</t>
  </si>
  <si>
    <t>36F2B283CE</t>
  </si>
  <si>
    <t>1B796EE744</t>
  </si>
  <si>
    <t>1B796EE9E4</t>
  </si>
  <si>
    <t>1B796EE9F8</t>
  </si>
  <si>
    <t>1B796EE3EC</t>
  </si>
  <si>
    <t>1B796EEE7E</t>
  </si>
  <si>
    <t>1B796EDF5E</t>
  </si>
  <si>
    <t>1B796EEB8F</t>
  </si>
  <si>
    <t>1B796EF053</t>
  </si>
  <si>
    <t>1B796EF237</t>
  </si>
  <si>
    <t>1B796EEDC0</t>
  </si>
  <si>
    <t>1B796EDD13</t>
  </si>
  <si>
    <t>36F2B283D6</t>
  </si>
  <si>
    <t>36F2B2840C</t>
  </si>
  <si>
    <t>1B796EE303</t>
  </si>
  <si>
    <t>36F2B2841A</t>
  </si>
  <si>
    <t>1B796EE613</t>
  </si>
  <si>
    <t>1B796EDAE4</t>
  </si>
  <si>
    <t>1B796EFB54</t>
  </si>
  <si>
    <t>1B796EE7E7</t>
  </si>
  <si>
    <t>1B796EDCC6</t>
  </si>
  <si>
    <t>1B796ED88F</t>
  </si>
  <si>
    <t>1B796EEB37</t>
  </si>
  <si>
    <t>1B796EE478</t>
  </si>
  <si>
    <t>36F2B283E6</t>
  </si>
  <si>
    <t>36F2B283DE</t>
  </si>
  <si>
    <t>36F2B28405</t>
  </si>
  <si>
    <t>1B796EDFB2</t>
  </si>
  <si>
    <t>1B796EEC80</t>
  </si>
  <si>
    <t>1B796EF45C</t>
  </si>
  <si>
    <r>
      <t xml:space="preserve">Year Classes:  </t>
    </r>
    <r>
      <rPr>
        <sz val="10"/>
        <color theme="1"/>
        <rFont val="Calibri"/>
        <family val="2"/>
        <scheme val="minor"/>
      </rPr>
      <t>2009 &amp; YOYs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</si>
</sst>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0_);\(0\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3" borderId="4" xfId="0" applyFill="1" applyBorder="1" applyAlignment="1">
      <alignment horizontal="right"/>
    </xf>
    <xf numFmtId="0" fontId="0" fillId="0" borderId="5" xfId="0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 applyProtection="1">
      <alignment horizontal="center"/>
      <protection locked="0"/>
    </xf>
    <xf numFmtId="0" fontId="0" fillId="3" borderId="6" xfId="0" applyFill="1" applyBorder="1" applyAlignment="1">
      <alignment horizontal="right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14" fontId="0" fillId="3" borderId="5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0" borderId="6" xfId="0" applyBorder="1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zoomScaleNormal="100" workbookViewId="0">
      <pane ySplit="1" topLeftCell="A14" activePane="bottomLeft" state="frozen"/>
      <selection pane="bottomLeft" activeCell="I23" sqref="I23"/>
    </sheetView>
  </sheetViews>
  <sheetFormatPr defaultRowHeight="12.75" x14ac:dyDescent="0.2"/>
  <cols>
    <col min="1" max="1" width="16.28515625" style="39" customWidth="1"/>
    <col min="2" max="2" width="21.85546875" style="39" customWidth="1"/>
    <col min="3" max="3" width="15.140625" style="39" customWidth="1"/>
    <col min="4" max="4" width="11" style="39" customWidth="1"/>
    <col min="5" max="5" width="10.28515625" style="39" customWidth="1"/>
    <col min="6" max="6" width="23.7109375" style="39" bestFit="1" customWidth="1"/>
    <col min="7" max="7" width="11" style="39" customWidth="1"/>
    <col min="8" max="8" width="10.42578125" style="39" customWidth="1"/>
    <col min="9" max="9" width="15.85546875" style="39" customWidth="1"/>
    <col min="10" max="19" width="8.85546875" style="39"/>
    <col min="20" max="16384" width="9.140625" style="38"/>
  </cols>
  <sheetData>
    <row r="1" spans="1:19" s="43" customFormat="1" x14ac:dyDescent="0.2">
      <c r="A1" s="41" t="s">
        <v>0</v>
      </c>
      <c r="B1" s="41" t="s">
        <v>1</v>
      </c>
      <c r="C1" s="41" t="s">
        <v>267</v>
      </c>
      <c r="D1" s="41" t="s">
        <v>203</v>
      </c>
      <c r="E1" s="41" t="s">
        <v>206</v>
      </c>
      <c r="F1" s="41" t="s">
        <v>205</v>
      </c>
      <c r="G1" s="42" t="s">
        <v>2</v>
      </c>
      <c r="H1" s="42" t="s">
        <v>3</v>
      </c>
      <c r="I1" s="42" t="s">
        <v>27</v>
      </c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x14ac:dyDescent="0.2">
      <c r="A2" s="35" t="s">
        <v>268</v>
      </c>
      <c r="B2" s="36" t="s">
        <v>213</v>
      </c>
      <c r="C2" s="46">
        <v>41591</v>
      </c>
      <c r="D2" s="36" t="s">
        <v>207</v>
      </c>
      <c r="E2" s="36">
        <v>1</v>
      </c>
      <c r="F2" s="36" t="s">
        <v>204</v>
      </c>
      <c r="G2" s="37">
        <v>340</v>
      </c>
      <c r="H2" s="37">
        <v>430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x14ac:dyDescent="0.2">
      <c r="A3" s="37" t="s">
        <v>269</v>
      </c>
      <c r="B3" s="39" t="s">
        <v>214</v>
      </c>
      <c r="C3" s="46">
        <v>41591</v>
      </c>
      <c r="D3" s="36" t="s">
        <v>207</v>
      </c>
      <c r="E3" s="36">
        <v>2</v>
      </c>
      <c r="F3" s="36" t="s">
        <v>204</v>
      </c>
      <c r="G3" s="39">
        <v>339</v>
      </c>
      <c r="H3" s="39">
        <v>415</v>
      </c>
      <c r="J3" s="47" t="s">
        <v>200</v>
      </c>
      <c r="K3" s="47"/>
      <c r="L3" s="47"/>
      <c r="M3" s="47"/>
      <c r="N3" s="47"/>
      <c r="O3" s="47"/>
      <c r="P3" s="47"/>
      <c r="Q3" s="47"/>
      <c r="R3" s="34"/>
    </row>
    <row r="4" spans="1:19" x14ac:dyDescent="0.2">
      <c r="A4" s="35" t="s">
        <v>270</v>
      </c>
      <c r="B4" s="36" t="s">
        <v>215</v>
      </c>
      <c r="C4" s="46">
        <v>41591</v>
      </c>
      <c r="D4" s="36" t="s">
        <v>207</v>
      </c>
      <c r="E4" s="36">
        <v>3</v>
      </c>
      <c r="F4" s="36" t="s">
        <v>204</v>
      </c>
      <c r="G4" s="39">
        <v>330</v>
      </c>
      <c r="H4" s="39">
        <v>420</v>
      </c>
      <c r="J4" s="48" t="s">
        <v>201</v>
      </c>
      <c r="K4" s="48"/>
      <c r="L4" s="48"/>
      <c r="M4" s="48"/>
      <c r="N4" s="48"/>
      <c r="O4" s="48"/>
      <c r="P4" s="48"/>
      <c r="Q4" s="48"/>
      <c r="R4" s="48"/>
    </row>
    <row r="5" spans="1:19" x14ac:dyDescent="0.2">
      <c r="A5" s="35" t="s">
        <v>271</v>
      </c>
      <c r="B5" s="36" t="s">
        <v>216</v>
      </c>
      <c r="C5" s="46">
        <v>41591</v>
      </c>
      <c r="D5" s="36" t="s">
        <v>207</v>
      </c>
      <c r="E5" s="36">
        <v>4</v>
      </c>
      <c r="F5" s="36" t="s">
        <v>204</v>
      </c>
      <c r="G5" s="39">
        <v>316</v>
      </c>
      <c r="H5" s="39">
        <v>330</v>
      </c>
      <c r="J5" s="47" t="s">
        <v>405</v>
      </c>
      <c r="K5" s="47"/>
      <c r="L5" s="47"/>
      <c r="M5" s="47"/>
      <c r="N5" s="47"/>
      <c r="P5" s="40"/>
      <c r="R5" s="34"/>
    </row>
    <row r="6" spans="1:19" x14ac:dyDescent="0.2">
      <c r="A6" s="35" t="s">
        <v>272</v>
      </c>
      <c r="B6" s="36" t="s">
        <v>217</v>
      </c>
      <c r="C6" s="46">
        <v>41591</v>
      </c>
      <c r="D6" s="36" t="s">
        <v>207</v>
      </c>
      <c r="E6" s="36">
        <v>5</v>
      </c>
      <c r="F6" s="36" t="s">
        <v>204</v>
      </c>
      <c r="G6" s="39">
        <v>296</v>
      </c>
      <c r="H6" s="39">
        <v>290</v>
      </c>
      <c r="J6" s="47" t="s">
        <v>265</v>
      </c>
      <c r="K6" s="47"/>
      <c r="L6" s="47"/>
      <c r="M6" s="47"/>
      <c r="N6" s="47"/>
      <c r="P6" s="40"/>
      <c r="R6" s="34"/>
    </row>
    <row r="7" spans="1:19" x14ac:dyDescent="0.2">
      <c r="A7" s="35" t="s">
        <v>273</v>
      </c>
      <c r="B7" s="36" t="s">
        <v>218</v>
      </c>
      <c r="C7" s="46">
        <v>41591</v>
      </c>
      <c r="D7" s="36" t="s">
        <v>207</v>
      </c>
      <c r="E7" s="36">
        <v>6</v>
      </c>
      <c r="F7" s="36" t="s">
        <v>204</v>
      </c>
      <c r="G7" s="39">
        <v>309</v>
      </c>
      <c r="H7" s="39">
        <v>335</v>
      </c>
      <c r="J7" s="47" t="s">
        <v>266</v>
      </c>
      <c r="K7" s="47"/>
      <c r="L7" s="47"/>
      <c r="M7" s="47"/>
      <c r="N7" s="47"/>
      <c r="P7" s="40"/>
      <c r="R7" s="34"/>
    </row>
    <row r="8" spans="1:19" x14ac:dyDescent="0.2">
      <c r="A8" s="35" t="s">
        <v>274</v>
      </c>
      <c r="B8" s="36" t="s">
        <v>219</v>
      </c>
      <c r="C8" s="46">
        <v>41591</v>
      </c>
      <c r="D8" s="36" t="s">
        <v>207</v>
      </c>
      <c r="E8" s="36">
        <v>7</v>
      </c>
      <c r="F8" s="36" t="s">
        <v>204</v>
      </c>
      <c r="G8" s="39">
        <v>345</v>
      </c>
      <c r="H8" s="39">
        <v>520</v>
      </c>
      <c r="J8" s="43" t="s">
        <v>263</v>
      </c>
      <c r="K8" s="43"/>
      <c r="L8" s="43"/>
      <c r="M8" s="43"/>
      <c r="N8" s="44"/>
      <c r="P8" s="45"/>
      <c r="R8" s="34"/>
    </row>
    <row r="9" spans="1:19" x14ac:dyDescent="0.2">
      <c r="A9" s="35" t="s">
        <v>275</v>
      </c>
      <c r="B9" s="36" t="s">
        <v>220</v>
      </c>
      <c r="C9" s="46">
        <v>41591</v>
      </c>
      <c r="D9" s="36" t="s">
        <v>207</v>
      </c>
      <c r="E9" s="36">
        <v>8</v>
      </c>
      <c r="F9" s="36" t="s">
        <v>204</v>
      </c>
      <c r="G9" s="39">
        <v>334</v>
      </c>
      <c r="H9" s="39">
        <v>430</v>
      </c>
      <c r="J9" s="47" t="s">
        <v>264</v>
      </c>
      <c r="K9" s="47"/>
      <c r="L9" s="47"/>
      <c r="M9" s="47"/>
      <c r="N9" s="47"/>
      <c r="P9" s="40"/>
      <c r="R9" s="34"/>
    </row>
    <row r="10" spans="1:19" x14ac:dyDescent="0.2">
      <c r="A10" s="35" t="s">
        <v>276</v>
      </c>
      <c r="B10" s="36" t="s">
        <v>221</v>
      </c>
      <c r="C10" s="46">
        <v>41591</v>
      </c>
      <c r="D10" s="36" t="s">
        <v>207</v>
      </c>
      <c r="E10" s="36">
        <v>9</v>
      </c>
      <c r="F10" s="36" t="s">
        <v>204</v>
      </c>
      <c r="G10" s="39">
        <v>327</v>
      </c>
      <c r="H10" s="39">
        <v>420</v>
      </c>
      <c r="J10" s="47" t="s">
        <v>202</v>
      </c>
      <c r="K10" s="47"/>
      <c r="L10" s="47"/>
      <c r="M10" s="47"/>
      <c r="N10" s="47"/>
      <c r="P10" s="40"/>
      <c r="R10" s="34"/>
    </row>
    <row r="11" spans="1:19" x14ac:dyDescent="0.2">
      <c r="A11" s="35" t="s">
        <v>277</v>
      </c>
      <c r="B11" s="36" t="s">
        <v>222</v>
      </c>
      <c r="C11" s="46">
        <v>41591</v>
      </c>
      <c r="D11" s="36" t="s">
        <v>207</v>
      </c>
      <c r="E11" s="36">
        <v>10</v>
      </c>
      <c r="F11" s="36" t="s">
        <v>204</v>
      </c>
      <c r="G11" s="39">
        <v>351</v>
      </c>
      <c r="H11" s="39">
        <v>480</v>
      </c>
    </row>
    <row r="12" spans="1:19" x14ac:dyDescent="0.2">
      <c r="A12" s="35" t="s">
        <v>278</v>
      </c>
      <c r="B12" s="36" t="s">
        <v>223</v>
      </c>
      <c r="C12" s="46">
        <v>41591</v>
      </c>
      <c r="D12" s="36" t="s">
        <v>207</v>
      </c>
      <c r="E12" s="36">
        <v>11</v>
      </c>
      <c r="F12" s="36" t="s">
        <v>204</v>
      </c>
      <c r="G12" s="39">
        <v>354</v>
      </c>
      <c r="H12" s="39">
        <v>505</v>
      </c>
      <c r="J12" s="48" t="s">
        <v>212</v>
      </c>
      <c r="K12" s="48"/>
      <c r="L12" s="48"/>
      <c r="M12" s="48"/>
      <c r="N12" s="48"/>
      <c r="O12" s="48"/>
      <c r="P12" s="48"/>
      <c r="Q12" s="48"/>
      <c r="R12" s="48"/>
    </row>
    <row r="13" spans="1:19" x14ac:dyDescent="0.2">
      <c r="A13" s="35" t="s">
        <v>279</v>
      </c>
      <c r="B13" s="36" t="s">
        <v>224</v>
      </c>
      <c r="C13" s="46">
        <v>41591</v>
      </c>
      <c r="D13" s="36" t="s">
        <v>207</v>
      </c>
      <c r="E13" s="36">
        <v>12</v>
      </c>
      <c r="F13" s="36" t="s">
        <v>204</v>
      </c>
      <c r="G13" s="39">
        <v>289</v>
      </c>
      <c r="H13" s="39">
        <v>310</v>
      </c>
    </row>
    <row r="14" spans="1:19" x14ac:dyDescent="0.2">
      <c r="A14" s="35" t="s">
        <v>280</v>
      </c>
      <c r="B14" s="36" t="s">
        <v>225</v>
      </c>
      <c r="C14" s="46">
        <v>41591</v>
      </c>
      <c r="D14" s="36" t="s">
        <v>207</v>
      </c>
      <c r="E14" s="36">
        <v>13</v>
      </c>
      <c r="F14" s="36" t="s">
        <v>204</v>
      </c>
      <c r="G14" s="39">
        <v>307</v>
      </c>
      <c r="H14" s="39">
        <v>360</v>
      </c>
    </row>
    <row r="15" spans="1:19" x14ac:dyDescent="0.2">
      <c r="A15" s="35" t="s">
        <v>281</v>
      </c>
      <c r="B15" s="36" t="s">
        <v>226</v>
      </c>
      <c r="C15" s="46">
        <v>41591</v>
      </c>
      <c r="D15" s="36" t="s">
        <v>207</v>
      </c>
      <c r="E15" s="36">
        <v>14</v>
      </c>
      <c r="F15" s="36" t="s">
        <v>204</v>
      </c>
      <c r="G15" s="39">
        <v>286</v>
      </c>
      <c r="H15" s="39">
        <v>280</v>
      </c>
    </row>
    <row r="16" spans="1:19" x14ac:dyDescent="0.2">
      <c r="A16" s="35" t="s">
        <v>282</v>
      </c>
      <c r="B16" s="36" t="s">
        <v>227</v>
      </c>
      <c r="C16" s="46">
        <v>41591</v>
      </c>
      <c r="D16" s="36" t="s">
        <v>207</v>
      </c>
      <c r="E16" s="36">
        <v>15</v>
      </c>
      <c r="F16" s="36" t="s">
        <v>204</v>
      </c>
      <c r="G16" s="39">
        <v>342</v>
      </c>
      <c r="H16" s="39">
        <v>480</v>
      </c>
    </row>
    <row r="17" spans="1:8" x14ac:dyDescent="0.2">
      <c r="A17" s="35" t="s">
        <v>283</v>
      </c>
      <c r="B17" s="36" t="s">
        <v>228</v>
      </c>
      <c r="C17" s="46">
        <v>41591</v>
      </c>
      <c r="D17" s="36" t="s">
        <v>207</v>
      </c>
      <c r="E17" s="36">
        <v>16</v>
      </c>
      <c r="F17" s="36" t="s">
        <v>204</v>
      </c>
      <c r="G17" s="39">
        <v>327</v>
      </c>
      <c r="H17" s="39">
        <v>425</v>
      </c>
    </row>
    <row r="18" spans="1:8" x14ac:dyDescent="0.2">
      <c r="A18" s="35" t="s">
        <v>284</v>
      </c>
      <c r="B18" s="36" t="s">
        <v>229</v>
      </c>
      <c r="C18" s="46">
        <v>41591</v>
      </c>
      <c r="D18" s="36" t="s">
        <v>207</v>
      </c>
      <c r="E18" s="36">
        <v>17</v>
      </c>
      <c r="F18" s="36" t="s">
        <v>204</v>
      </c>
      <c r="G18" s="39">
        <v>319</v>
      </c>
      <c r="H18" s="39">
        <v>385</v>
      </c>
    </row>
    <row r="19" spans="1:8" x14ac:dyDescent="0.2">
      <c r="A19" s="35" t="s">
        <v>285</v>
      </c>
      <c r="B19" s="36" t="s">
        <v>230</v>
      </c>
      <c r="C19" s="46">
        <v>41591</v>
      </c>
      <c r="D19" s="36" t="s">
        <v>207</v>
      </c>
      <c r="E19" s="36">
        <v>18</v>
      </c>
      <c r="F19" s="36" t="s">
        <v>204</v>
      </c>
      <c r="G19" s="39">
        <v>332</v>
      </c>
      <c r="H19" s="39">
        <v>430</v>
      </c>
    </row>
    <row r="20" spans="1:8" x14ac:dyDescent="0.2">
      <c r="A20" s="35" t="s">
        <v>286</v>
      </c>
      <c r="B20" s="36" t="s">
        <v>231</v>
      </c>
      <c r="C20" s="46">
        <v>41591</v>
      </c>
      <c r="D20" s="36" t="s">
        <v>207</v>
      </c>
      <c r="E20" s="36">
        <v>19</v>
      </c>
      <c r="F20" s="36" t="s">
        <v>204</v>
      </c>
      <c r="G20" s="39">
        <v>341</v>
      </c>
      <c r="H20" s="39">
        <v>510</v>
      </c>
    </row>
    <row r="21" spans="1:8" x14ac:dyDescent="0.2">
      <c r="A21" s="35" t="s">
        <v>287</v>
      </c>
      <c r="B21" s="36" t="s">
        <v>232</v>
      </c>
      <c r="C21" s="46">
        <v>41591</v>
      </c>
      <c r="D21" s="36" t="s">
        <v>207</v>
      </c>
      <c r="E21" s="36">
        <v>20</v>
      </c>
      <c r="F21" s="36" t="s">
        <v>204</v>
      </c>
      <c r="G21" s="39">
        <v>327</v>
      </c>
      <c r="H21" s="39">
        <v>385</v>
      </c>
    </row>
    <row r="22" spans="1:8" x14ac:dyDescent="0.2">
      <c r="A22" s="35" t="s">
        <v>288</v>
      </c>
      <c r="B22" s="36" t="s">
        <v>233</v>
      </c>
      <c r="C22" s="46">
        <v>41591</v>
      </c>
      <c r="D22" s="36" t="s">
        <v>207</v>
      </c>
      <c r="E22" s="36">
        <v>21</v>
      </c>
      <c r="F22" s="36" t="s">
        <v>204</v>
      </c>
      <c r="G22" s="39">
        <v>334</v>
      </c>
      <c r="H22" s="39">
        <v>455</v>
      </c>
    </row>
    <row r="23" spans="1:8" x14ac:dyDescent="0.2">
      <c r="A23" s="35" t="s">
        <v>289</v>
      </c>
      <c r="B23" s="36" t="s">
        <v>234</v>
      </c>
      <c r="C23" s="46">
        <v>41591</v>
      </c>
      <c r="D23" s="36" t="s">
        <v>207</v>
      </c>
      <c r="E23" s="36">
        <v>22</v>
      </c>
      <c r="F23" s="36" t="s">
        <v>204</v>
      </c>
      <c r="G23" s="39">
        <v>338</v>
      </c>
      <c r="H23" s="39">
        <v>465</v>
      </c>
    </row>
    <row r="24" spans="1:8" x14ac:dyDescent="0.2">
      <c r="A24" s="35" t="s">
        <v>290</v>
      </c>
      <c r="B24" s="36" t="s">
        <v>235</v>
      </c>
      <c r="C24" s="46">
        <v>41591</v>
      </c>
      <c r="D24" s="36" t="s">
        <v>207</v>
      </c>
      <c r="E24" s="36">
        <v>23</v>
      </c>
      <c r="F24" s="36" t="s">
        <v>204</v>
      </c>
      <c r="G24" s="39">
        <v>322</v>
      </c>
      <c r="H24" s="39">
        <v>380</v>
      </c>
    </row>
    <row r="25" spans="1:8" x14ac:dyDescent="0.2">
      <c r="A25" s="35" t="s">
        <v>291</v>
      </c>
      <c r="B25" s="36" t="s">
        <v>236</v>
      </c>
      <c r="C25" s="46">
        <v>41591</v>
      </c>
      <c r="D25" s="36" t="s">
        <v>207</v>
      </c>
      <c r="E25" s="36">
        <v>24</v>
      </c>
      <c r="F25" s="36" t="s">
        <v>204</v>
      </c>
      <c r="G25" s="39">
        <v>293</v>
      </c>
      <c r="H25" s="39">
        <v>310</v>
      </c>
    </row>
    <row r="26" spans="1:8" x14ac:dyDescent="0.2">
      <c r="A26" s="35" t="s">
        <v>292</v>
      </c>
      <c r="B26" s="36" t="s">
        <v>237</v>
      </c>
      <c r="C26" s="46">
        <v>41591</v>
      </c>
      <c r="D26" s="36" t="s">
        <v>207</v>
      </c>
      <c r="E26" s="36">
        <v>25</v>
      </c>
      <c r="F26" s="36" t="s">
        <v>204</v>
      </c>
      <c r="G26" s="39">
        <v>324</v>
      </c>
      <c r="H26" s="39">
        <v>420</v>
      </c>
    </row>
    <row r="27" spans="1:8" x14ac:dyDescent="0.2">
      <c r="A27" s="35" t="s">
        <v>293</v>
      </c>
      <c r="B27" s="36" t="s">
        <v>238</v>
      </c>
      <c r="C27" s="46">
        <v>41591</v>
      </c>
      <c r="D27" s="36" t="s">
        <v>207</v>
      </c>
      <c r="E27" s="36">
        <v>26</v>
      </c>
      <c r="F27" s="36" t="s">
        <v>204</v>
      </c>
      <c r="G27" s="39">
        <v>340</v>
      </c>
      <c r="H27" s="39">
        <v>455</v>
      </c>
    </row>
    <row r="28" spans="1:8" x14ac:dyDescent="0.2">
      <c r="A28" s="35" t="s">
        <v>294</v>
      </c>
      <c r="B28" s="36" t="s">
        <v>239</v>
      </c>
      <c r="C28" s="46">
        <v>41591</v>
      </c>
      <c r="D28" s="36" t="s">
        <v>207</v>
      </c>
      <c r="E28" s="36">
        <v>27</v>
      </c>
      <c r="F28" s="36" t="s">
        <v>204</v>
      </c>
      <c r="G28" s="39">
        <v>297</v>
      </c>
      <c r="H28" s="39">
        <v>290</v>
      </c>
    </row>
    <row r="29" spans="1:8" x14ac:dyDescent="0.2">
      <c r="A29" s="35" t="s">
        <v>295</v>
      </c>
      <c r="B29" s="36" t="s">
        <v>240</v>
      </c>
      <c r="C29" s="46">
        <v>41591</v>
      </c>
      <c r="D29" s="36" t="s">
        <v>207</v>
      </c>
      <c r="E29" s="36">
        <v>28</v>
      </c>
      <c r="F29" s="36" t="s">
        <v>204</v>
      </c>
      <c r="G29" s="39">
        <v>325</v>
      </c>
      <c r="H29" s="39">
        <v>400</v>
      </c>
    </row>
    <row r="30" spans="1:8" x14ac:dyDescent="0.2">
      <c r="A30" s="35" t="s">
        <v>296</v>
      </c>
      <c r="B30" s="36" t="s">
        <v>241</v>
      </c>
      <c r="C30" s="46">
        <v>41591</v>
      </c>
      <c r="D30" s="36" t="s">
        <v>207</v>
      </c>
      <c r="E30" s="36">
        <v>29</v>
      </c>
      <c r="F30" s="36" t="s">
        <v>204</v>
      </c>
      <c r="G30" s="39">
        <v>316</v>
      </c>
      <c r="H30" s="39">
        <v>395</v>
      </c>
    </row>
    <row r="31" spans="1:8" x14ac:dyDescent="0.2">
      <c r="A31" s="35" t="s">
        <v>297</v>
      </c>
      <c r="B31" s="36" t="s">
        <v>242</v>
      </c>
      <c r="C31" s="46">
        <v>41591</v>
      </c>
      <c r="D31" s="36" t="s">
        <v>207</v>
      </c>
      <c r="E31" s="36">
        <v>30</v>
      </c>
      <c r="F31" s="36" t="s">
        <v>204</v>
      </c>
      <c r="G31" s="39">
        <v>293</v>
      </c>
      <c r="H31" s="39">
        <v>300</v>
      </c>
    </row>
    <row r="32" spans="1:8" x14ac:dyDescent="0.2">
      <c r="A32" s="35" t="s">
        <v>298</v>
      </c>
      <c r="B32" s="36" t="s">
        <v>243</v>
      </c>
      <c r="C32" s="46">
        <v>41591</v>
      </c>
      <c r="D32" s="36" t="s">
        <v>207</v>
      </c>
      <c r="E32" s="36">
        <v>31</v>
      </c>
      <c r="F32" s="36" t="s">
        <v>204</v>
      </c>
      <c r="G32" s="39">
        <v>304</v>
      </c>
      <c r="H32" s="39">
        <v>335</v>
      </c>
    </row>
    <row r="33" spans="1:8" x14ac:dyDescent="0.2">
      <c r="A33" s="35" t="s">
        <v>299</v>
      </c>
      <c r="B33" s="36" t="s">
        <v>244</v>
      </c>
      <c r="C33" s="46">
        <v>41591</v>
      </c>
      <c r="D33" s="36" t="s">
        <v>207</v>
      </c>
      <c r="E33" s="36">
        <v>32</v>
      </c>
      <c r="F33" s="36" t="s">
        <v>204</v>
      </c>
      <c r="G33" s="39">
        <v>303</v>
      </c>
      <c r="H33" s="39">
        <v>290</v>
      </c>
    </row>
    <row r="34" spans="1:8" x14ac:dyDescent="0.2">
      <c r="A34" s="35" t="s">
        <v>300</v>
      </c>
      <c r="B34" s="36" t="s">
        <v>245</v>
      </c>
      <c r="C34" s="46">
        <v>41591</v>
      </c>
      <c r="D34" s="36" t="s">
        <v>207</v>
      </c>
      <c r="E34" s="36">
        <v>33</v>
      </c>
      <c r="F34" s="36" t="s">
        <v>204</v>
      </c>
      <c r="G34" s="39">
        <v>335</v>
      </c>
      <c r="H34" s="39">
        <v>440</v>
      </c>
    </row>
    <row r="35" spans="1:8" x14ac:dyDescent="0.2">
      <c r="A35" s="35" t="s">
        <v>301</v>
      </c>
      <c r="B35" s="36" t="s">
        <v>246</v>
      </c>
      <c r="C35" s="46">
        <v>41591</v>
      </c>
      <c r="D35" s="36" t="s">
        <v>207</v>
      </c>
      <c r="E35" s="36">
        <v>34</v>
      </c>
      <c r="F35" s="36" t="s">
        <v>204</v>
      </c>
      <c r="G35" s="39">
        <v>291</v>
      </c>
      <c r="H35" s="39">
        <v>325</v>
      </c>
    </row>
    <row r="36" spans="1:8" x14ac:dyDescent="0.2">
      <c r="A36" s="35" t="s">
        <v>302</v>
      </c>
      <c r="B36" s="36" t="s">
        <v>247</v>
      </c>
      <c r="C36" s="46">
        <v>41591</v>
      </c>
      <c r="D36" s="36" t="s">
        <v>207</v>
      </c>
      <c r="E36" s="36">
        <v>35</v>
      </c>
      <c r="F36" s="36" t="s">
        <v>204</v>
      </c>
      <c r="G36" s="39">
        <v>328</v>
      </c>
      <c r="H36" s="39">
        <v>460</v>
      </c>
    </row>
    <row r="37" spans="1:8" x14ac:dyDescent="0.2">
      <c r="A37" s="35" t="s">
        <v>303</v>
      </c>
      <c r="B37" s="36" t="s">
        <v>248</v>
      </c>
      <c r="C37" s="46">
        <v>41591</v>
      </c>
      <c r="D37" s="36" t="s">
        <v>207</v>
      </c>
      <c r="E37" s="36">
        <v>36</v>
      </c>
      <c r="F37" s="36" t="s">
        <v>204</v>
      </c>
      <c r="G37" s="39">
        <v>327</v>
      </c>
      <c r="H37" s="39">
        <v>420</v>
      </c>
    </row>
    <row r="38" spans="1:8" x14ac:dyDescent="0.2">
      <c r="A38" s="35" t="s">
        <v>304</v>
      </c>
      <c r="B38" s="36" t="s">
        <v>249</v>
      </c>
      <c r="C38" s="46">
        <v>41591</v>
      </c>
      <c r="D38" s="36" t="s">
        <v>207</v>
      </c>
      <c r="E38" s="36">
        <v>37</v>
      </c>
      <c r="F38" s="36" t="s">
        <v>204</v>
      </c>
      <c r="G38" s="39">
        <v>317</v>
      </c>
      <c r="H38" s="39">
        <v>385</v>
      </c>
    </row>
    <row r="39" spans="1:8" x14ac:dyDescent="0.2">
      <c r="A39" s="35" t="s">
        <v>305</v>
      </c>
      <c r="B39" s="36" t="s">
        <v>250</v>
      </c>
      <c r="C39" s="46">
        <v>41591</v>
      </c>
      <c r="D39" s="36" t="s">
        <v>207</v>
      </c>
      <c r="E39" s="36">
        <v>38</v>
      </c>
      <c r="F39" s="36" t="s">
        <v>204</v>
      </c>
      <c r="G39" s="39">
        <v>335</v>
      </c>
      <c r="H39" s="39">
        <v>440</v>
      </c>
    </row>
    <row r="40" spans="1:8" x14ac:dyDescent="0.2">
      <c r="A40" s="35" t="s">
        <v>306</v>
      </c>
      <c r="B40" s="36" t="s">
        <v>251</v>
      </c>
      <c r="C40" s="46">
        <v>41591</v>
      </c>
      <c r="D40" s="36" t="s">
        <v>207</v>
      </c>
      <c r="E40" s="36">
        <v>39</v>
      </c>
      <c r="F40" s="36" t="s">
        <v>204</v>
      </c>
      <c r="G40" s="39">
        <v>322</v>
      </c>
      <c r="H40" s="39">
        <v>390</v>
      </c>
    </row>
    <row r="41" spans="1:8" x14ac:dyDescent="0.2">
      <c r="A41" s="35" t="s">
        <v>307</v>
      </c>
      <c r="B41" s="36" t="s">
        <v>252</v>
      </c>
      <c r="C41" s="46">
        <v>41591</v>
      </c>
      <c r="D41" s="36" t="s">
        <v>207</v>
      </c>
      <c r="E41" s="36">
        <v>40</v>
      </c>
      <c r="F41" s="36" t="s">
        <v>204</v>
      </c>
      <c r="G41" s="39">
        <v>328</v>
      </c>
      <c r="H41" s="39">
        <v>395</v>
      </c>
    </row>
    <row r="42" spans="1:8" x14ac:dyDescent="0.2">
      <c r="A42" s="35" t="s">
        <v>308</v>
      </c>
      <c r="B42" s="36" t="s">
        <v>253</v>
      </c>
      <c r="C42" s="46">
        <v>41591</v>
      </c>
      <c r="D42" s="36" t="s">
        <v>207</v>
      </c>
      <c r="E42" s="36">
        <v>41</v>
      </c>
      <c r="F42" s="36" t="s">
        <v>204</v>
      </c>
      <c r="G42" s="39">
        <v>344</v>
      </c>
      <c r="H42" s="39">
        <v>510</v>
      </c>
    </row>
    <row r="43" spans="1:8" x14ac:dyDescent="0.2">
      <c r="A43" s="35" t="s">
        <v>309</v>
      </c>
      <c r="B43" s="36" t="s">
        <v>254</v>
      </c>
      <c r="C43" s="46">
        <v>41591</v>
      </c>
      <c r="D43" s="36" t="s">
        <v>207</v>
      </c>
      <c r="E43" s="36">
        <v>42</v>
      </c>
      <c r="F43" s="36" t="s">
        <v>204</v>
      </c>
      <c r="G43" s="39">
        <v>338</v>
      </c>
      <c r="H43" s="39">
        <v>470</v>
      </c>
    </row>
    <row r="44" spans="1:8" x14ac:dyDescent="0.2">
      <c r="A44" s="35" t="s">
        <v>310</v>
      </c>
      <c r="B44" s="36" t="s">
        <v>255</v>
      </c>
      <c r="C44" s="46">
        <v>41591</v>
      </c>
      <c r="D44" s="36" t="s">
        <v>207</v>
      </c>
      <c r="E44" s="36">
        <v>43</v>
      </c>
      <c r="F44" s="36" t="s">
        <v>204</v>
      </c>
      <c r="G44" s="39">
        <v>332</v>
      </c>
      <c r="H44" s="39">
        <v>455</v>
      </c>
    </row>
    <row r="45" spans="1:8" x14ac:dyDescent="0.2">
      <c r="A45" s="35" t="s">
        <v>311</v>
      </c>
      <c r="B45" s="36" t="s">
        <v>256</v>
      </c>
      <c r="C45" s="46">
        <v>41591</v>
      </c>
      <c r="D45" s="36" t="s">
        <v>207</v>
      </c>
      <c r="E45" s="36">
        <v>44</v>
      </c>
      <c r="F45" s="36" t="s">
        <v>204</v>
      </c>
      <c r="G45" s="39">
        <v>314</v>
      </c>
      <c r="H45" s="39">
        <v>375</v>
      </c>
    </row>
    <row r="46" spans="1:8" x14ac:dyDescent="0.2">
      <c r="A46" s="35" t="s">
        <v>312</v>
      </c>
      <c r="B46" s="36" t="s">
        <v>257</v>
      </c>
      <c r="C46" s="46">
        <v>41591</v>
      </c>
      <c r="D46" s="36" t="s">
        <v>207</v>
      </c>
      <c r="E46" s="36">
        <v>45</v>
      </c>
      <c r="F46" s="36" t="s">
        <v>204</v>
      </c>
      <c r="G46" s="39">
        <v>329</v>
      </c>
      <c r="H46" s="39">
        <v>425</v>
      </c>
    </row>
    <row r="47" spans="1:8" x14ac:dyDescent="0.2">
      <c r="A47" s="35" t="s">
        <v>313</v>
      </c>
      <c r="B47" s="36" t="s">
        <v>258</v>
      </c>
      <c r="C47" s="46">
        <v>41591</v>
      </c>
      <c r="D47" s="36" t="s">
        <v>207</v>
      </c>
      <c r="E47" s="36">
        <v>46</v>
      </c>
      <c r="F47" s="36" t="s">
        <v>204</v>
      </c>
      <c r="G47" s="39">
        <v>331</v>
      </c>
      <c r="H47" s="39">
        <v>430</v>
      </c>
    </row>
    <row r="48" spans="1:8" x14ac:dyDescent="0.2">
      <c r="A48" s="35" t="s">
        <v>314</v>
      </c>
      <c r="B48" s="36" t="s">
        <v>259</v>
      </c>
      <c r="C48" s="46">
        <v>41591</v>
      </c>
      <c r="D48" s="36" t="s">
        <v>207</v>
      </c>
      <c r="E48" s="36">
        <v>47</v>
      </c>
      <c r="F48" s="36" t="s">
        <v>204</v>
      </c>
      <c r="G48" s="39">
        <v>337</v>
      </c>
      <c r="H48" s="39">
        <v>450</v>
      </c>
    </row>
    <row r="49" spans="1:9" x14ac:dyDescent="0.2">
      <c r="A49" s="35" t="s">
        <v>315</v>
      </c>
      <c r="B49" s="36" t="s">
        <v>260</v>
      </c>
      <c r="C49" s="46">
        <v>41591</v>
      </c>
      <c r="D49" s="36" t="s">
        <v>207</v>
      </c>
      <c r="E49" s="36">
        <v>48</v>
      </c>
      <c r="F49" s="36" t="s">
        <v>204</v>
      </c>
      <c r="G49" s="39">
        <v>310</v>
      </c>
      <c r="H49" s="39">
        <v>355</v>
      </c>
    </row>
    <row r="50" spans="1:9" x14ac:dyDescent="0.2">
      <c r="A50" s="35" t="s">
        <v>316</v>
      </c>
      <c r="B50" s="36" t="s">
        <v>261</v>
      </c>
      <c r="C50" s="46">
        <v>41591</v>
      </c>
      <c r="D50" s="36" t="s">
        <v>207</v>
      </c>
      <c r="E50" s="36">
        <v>49</v>
      </c>
      <c r="F50" s="36" t="s">
        <v>204</v>
      </c>
      <c r="G50" s="39">
        <v>346</v>
      </c>
      <c r="H50" s="39">
        <v>505</v>
      </c>
    </row>
    <row r="51" spans="1:9" x14ac:dyDescent="0.2">
      <c r="A51" s="35" t="s">
        <v>317</v>
      </c>
      <c r="B51" s="36" t="s">
        <v>262</v>
      </c>
      <c r="C51" s="46">
        <v>41591</v>
      </c>
      <c r="D51" s="36" t="s">
        <v>207</v>
      </c>
      <c r="E51" s="36">
        <v>50</v>
      </c>
      <c r="F51" s="36" t="s">
        <v>204</v>
      </c>
      <c r="G51" s="39">
        <v>317</v>
      </c>
      <c r="H51" s="39">
        <v>425</v>
      </c>
    </row>
    <row r="52" spans="1:9" x14ac:dyDescent="0.2">
      <c r="A52" s="35" t="s">
        <v>318</v>
      </c>
      <c r="B52" s="36" t="s">
        <v>113</v>
      </c>
      <c r="C52" s="46">
        <v>41592</v>
      </c>
      <c r="D52" s="36" t="s">
        <v>207</v>
      </c>
      <c r="E52" s="36">
        <v>51</v>
      </c>
      <c r="F52" s="36" t="s">
        <v>204</v>
      </c>
      <c r="G52" s="37">
        <v>533</v>
      </c>
      <c r="H52" s="37">
        <v>1650</v>
      </c>
      <c r="I52" s="37"/>
    </row>
    <row r="53" spans="1:9" x14ac:dyDescent="0.2">
      <c r="A53" s="35" t="s">
        <v>319</v>
      </c>
      <c r="B53" s="36" t="s">
        <v>114</v>
      </c>
      <c r="C53" s="46">
        <v>41592</v>
      </c>
      <c r="D53" s="36" t="s">
        <v>207</v>
      </c>
      <c r="E53" s="36">
        <v>52</v>
      </c>
      <c r="F53" s="36" t="s">
        <v>204</v>
      </c>
      <c r="G53" s="39">
        <v>534</v>
      </c>
      <c r="H53" s="39">
        <v>1590</v>
      </c>
    </row>
    <row r="54" spans="1:9" x14ac:dyDescent="0.2">
      <c r="A54" s="35" t="s">
        <v>320</v>
      </c>
      <c r="B54" s="36" t="s">
        <v>115</v>
      </c>
      <c r="C54" s="46">
        <v>41592</v>
      </c>
      <c r="D54" s="36" t="s">
        <v>207</v>
      </c>
      <c r="E54" s="36">
        <v>53</v>
      </c>
      <c r="F54" s="36" t="s">
        <v>204</v>
      </c>
      <c r="G54" s="39">
        <v>549</v>
      </c>
      <c r="H54" s="39">
        <v>1800</v>
      </c>
    </row>
    <row r="55" spans="1:9" x14ac:dyDescent="0.2">
      <c r="A55" s="35" t="s">
        <v>321</v>
      </c>
      <c r="B55" s="36" t="s">
        <v>116</v>
      </c>
      <c r="C55" s="46">
        <v>41592</v>
      </c>
      <c r="D55" s="36" t="s">
        <v>207</v>
      </c>
      <c r="E55" s="36">
        <v>54</v>
      </c>
      <c r="F55" s="36" t="s">
        <v>204</v>
      </c>
      <c r="G55" s="39">
        <v>538</v>
      </c>
      <c r="H55" s="39">
        <v>1625</v>
      </c>
    </row>
    <row r="56" spans="1:9" x14ac:dyDescent="0.2">
      <c r="A56" s="35" t="s">
        <v>322</v>
      </c>
      <c r="B56" s="36" t="s">
        <v>117</v>
      </c>
      <c r="C56" s="46">
        <v>41592</v>
      </c>
      <c r="D56" s="36" t="s">
        <v>207</v>
      </c>
      <c r="E56" s="36">
        <v>55</v>
      </c>
      <c r="F56" s="36" t="s">
        <v>204</v>
      </c>
      <c r="G56" s="39">
        <v>526</v>
      </c>
      <c r="H56" s="39">
        <v>1605</v>
      </c>
    </row>
    <row r="57" spans="1:9" x14ac:dyDescent="0.2">
      <c r="A57" s="35" t="s">
        <v>323</v>
      </c>
      <c r="B57" s="36" t="s">
        <v>118</v>
      </c>
      <c r="C57" s="46">
        <v>41592</v>
      </c>
      <c r="D57" s="36" t="s">
        <v>207</v>
      </c>
      <c r="E57" s="36">
        <v>56</v>
      </c>
      <c r="F57" s="36" t="s">
        <v>204</v>
      </c>
      <c r="G57" s="39">
        <v>517</v>
      </c>
      <c r="H57" s="39">
        <v>1490</v>
      </c>
    </row>
    <row r="58" spans="1:9" x14ac:dyDescent="0.2">
      <c r="A58" s="35" t="s">
        <v>324</v>
      </c>
      <c r="B58" s="36" t="s">
        <v>119</v>
      </c>
      <c r="C58" s="46">
        <v>41592</v>
      </c>
      <c r="D58" s="36" t="s">
        <v>207</v>
      </c>
      <c r="E58" s="36">
        <v>57</v>
      </c>
      <c r="F58" s="36" t="s">
        <v>204</v>
      </c>
      <c r="G58" s="39">
        <v>556</v>
      </c>
      <c r="H58" s="39">
        <v>1800</v>
      </c>
    </row>
    <row r="59" spans="1:9" x14ac:dyDescent="0.2">
      <c r="A59" s="35" t="s">
        <v>325</v>
      </c>
      <c r="B59" s="36" t="s">
        <v>120</v>
      </c>
      <c r="C59" s="46">
        <v>41592</v>
      </c>
      <c r="D59" s="36" t="s">
        <v>207</v>
      </c>
      <c r="E59" s="36">
        <v>58</v>
      </c>
      <c r="F59" s="36" t="s">
        <v>204</v>
      </c>
      <c r="G59" s="39">
        <v>523</v>
      </c>
      <c r="H59" s="39">
        <v>1460</v>
      </c>
    </row>
    <row r="60" spans="1:9" x14ac:dyDescent="0.2">
      <c r="A60" s="35" t="s">
        <v>326</v>
      </c>
      <c r="B60" s="36" t="s">
        <v>121</v>
      </c>
      <c r="C60" s="46">
        <v>41592</v>
      </c>
      <c r="D60" s="36" t="s">
        <v>207</v>
      </c>
      <c r="E60" s="36">
        <v>59</v>
      </c>
      <c r="F60" s="36" t="s">
        <v>204</v>
      </c>
      <c r="G60" s="39">
        <v>565</v>
      </c>
      <c r="H60" s="39">
        <v>1805</v>
      </c>
    </row>
    <row r="61" spans="1:9" x14ac:dyDescent="0.2">
      <c r="A61" s="35" t="s">
        <v>327</v>
      </c>
      <c r="B61" s="36" t="s">
        <v>122</v>
      </c>
      <c r="C61" s="46">
        <v>41592</v>
      </c>
      <c r="D61" s="36" t="s">
        <v>207</v>
      </c>
      <c r="E61" s="36">
        <v>60</v>
      </c>
      <c r="F61" s="36" t="s">
        <v>204</v>
      </c>
      <c r="G61" s="39">
        <v>536</v>
      </c>
      <c r="H61" s="39">
        <v>1665</v>
      </c>
    </row>
    <row r="62" spans="1:9" x14ac:dyDescent="0.2">
      <c r="A62" s="35" t="s">
        <v>328</v>
      </c>
      <c r="B62" s="36" t="s">
        <v>123</v>
      </c>
      <c r="C62" s="46">
        <v>41592</v>
      </c>
      <c r="D62" s="36" t="s">
        <v>207</v>
      </c>
      <c r="E62" s="36">
        <v>61</v>
      </c>
      <c r="F62" s="36" t="s">
        <v>204</v>
      </c>
      <c r="G62" s="39">
        <v>505</v>
      </c>
      <c r="H62" s="39">
        <v>1320</v>
      </c>
    </row>
    <row r="63" spans="1:9" x14ac:dyDescent="0.2">
      <c r="A63" s="35" t="s">
        <v>329</v>
      </c>
      <c r="B63" s="36" t="s">
        <v>124</v>
      </c>
      <c r="C63" s="46">
        <v>41592</v>
      </c>
      <c r="D63" s="36" t="s">
        <v>207</v>
      </c>
      <c r="E63" s="36">
        <v>62</v>
      </c>
      <c r="F63" s="36" t="s">
        <v>204</v>
      </c>
      <c r="G63" s="39">
        <v>553</v>
      </c>
      <c r="H63" s="39">
        <v>1840</v>
      </c>
    </row>
    <row r="64" spans="1:9" x14ac:dyDescent="0.2">
      <c r="A64" s="35" t="s">
        <v>330</v>
      </c>
      <c r="B64" s="36" t="s">
        <v>125</v>
      </c>
      <c r="C64" s="46">
        <v>41592</v>
      </c>
      <c r="D64" s="36" t="s">
        <v>207</v>
      </c>
      <c r="E64" s="36">
        <v>63</v>
      </c>
      <c r="F64" s="36" t="s">
        <v>204</v>
      </c>
      <c r="G64" s="39">
        <v>496</v>
      </c>
      <c r="H64" s="39">
        <v>1400</v>
      </c>
    </row>
    <row r="65" spans="1:8" x14ac:dyDescent="0.2">
      <c r="A65" s="35" t="s">
        <v>331</v>
      </c>
      <c r="B65" s="36" t="s">
        <v>126</v>
      </c>
      <c r="C65" s="46">
        <v>41592</v>
      </c>
      <c r="D65" s="36" t="s">
        <v>207</v>
      </c>
      <c r="E65" s="36">
        <v>64</v>
      </c>
      <c r="F65" s="36" t="s">
        <v>204</v>
      </c>
      <c r="G65" s="39">
        <v>466</v>
      </c>
      <c r="H65" s="39">
        <v>910</v>
      </c>
    </row>
    <row r="66" spans="1:8" x14ac:dyDescent="0.2">
      <c r="A66" s="35" t="s">
        <v>332</v>
      </c>
      <c r="B66" s="36" t="s">
        <v>127</v>
      </c>
      <c r="C66" s="46">
        <v>41592</v>
      </c>
      <c r="D66" s="36" t="s">
        <v>207</v>
      </c>
      <c r="E66" s="36">
        <v>65</v>
      </c>
      <c r="F66" s="36" t="s">
        <v>204</v>
      </c>
      <c r="G66" s="39">
        <v>524</v>
      </c>
      <c r="H66" s="39">
        <v>1425</v>
      </c>
    </row>
    <row r="67" spans="1:8" x14ac:dyDescent="0.2">
      <c r="A67" s="35" t="s">
        <v>333</v>
      </c>
      <c r="B67" s="36" t="s">
        <v>128</v>
      </c>
      <c r="C67" s="46">
        <v>41592</v>
      </c>
      <c r="D67" s="36" t="s">
        <v>207</v>
      </c>
      <c r="E67" s="36">
        <v>66</v>
      </c>
      <c r="F67" s="36" t="s">
        <v>204</v>
      </c>
      <c r="G67" s="39">
        <v>493</v>
      </c>
      <c r="H67" s="39">
        <v>1420</v>
      </c>
    </row>
    <row r="68" spans="1:8" x14ac:dyDescent="0.2">
      <c r="A68" s="35" t="s">
        <v>334</v>
      </c>
      <c r="B68" s="36" t="s">
        <v>129</v>
      </c>
      <c r="C68" s="46">
        <v>41592</v>
      </c>
      <c r="D68" s="36" t="s">
        <v>207</v>
      </c>
      <c r="E68" s="36">
        <v>67</v>
      </c>
      <c r="F68" s="36" t="s">
        <v>204</v>
      </c>
      <c r="G68" s="39">
        <v>522</v>
      </c>
      <c r="H68" s="39">
        <v>1625</v>
      </c>
    </row>
    <row r="69" spans="1:8" x14ac:dyDescent="0.2">
      <c r="A69" s="35" t="s">
        <v>335</v>
      </c>
      <c r="B69" s="36" t="s">
        <v>130</v>
      </c>
      <c r="C69" s="46">
        <v>41592</v>
      </c>
      <c r="D69" s="36" t="s">
        <v>207</v>
      </c>
      <c r="E69" s="36">
        <v>68</v>
      </c>
      <c r="F69" s="36" t="s">
        <v>204</v>
      </c>
      <c r="G69" s="39">
        <v>554</v>
      </c>
      <c r="H69" s="39">
        <v>1905</v>
      </c>
    </row>
    <row r="70" spans="1:8" x14ac:dyDescent="0.2">
      <c r="A70" s="35" t="s">
        <v>336</v>
      </c>
      <c r="B70" s="36" t="s">
        <v>131</v>
      </c>
      <c r="C70" s="46">
        <v>41592</v>
      </c>
      <c r="D70" s="36" t="s">
        <v>207</v>
      </c>
      <c r="E70" s="36">
        <v>69</v>
      </c>
      <c r="F70" s="36" t="s">
        <v>204</v>
      </c>
      <c r="G70" s="39">
        <v>512</v>
      </c>
      <c r="H70" s="39">
        <v>1380</v>
      </c>
    </row>
    <row r="71" spans="1:8" x14ac:dyDescent="0.2">
      <c r="A71" s="35" t="s">
        <v>337</v>
      </c>
      <c r="B71" s="36" t="s">
        <v>132</v>
      </c>
      <c r="C71" s="46">
        <v>41592</v>
      </c>
      <c r="D71" s="36" t="s">
        <v>207</v>
      </c>
      <c r="E71" s="36">
        <v>70</v>
      </c>
      <c r="F71" s="36" t="s">
        <v>204</v>
      </c>
      <c r="G71" s="39">
        <v>507</v>
      </c>
      <c r="H71" s="39">
        <v>1325</v>
      </c>
    </row>
    <row r="72" spans="1:8" x14ac:dyDescent="0.2">
      <c r="A72" s="35" t="s">
        <v>338</v>
      </c>
      <c r="B72" s="36" t="s">
        <v>133</v>
      </c>
      <c r="C72" s="46">
        <v>41592</v>
      </c>
      <c r="D72" s="36" t="s">
        <v>207</v>
      </c>
      <c r="E72" s="36">
        <v>71</v>
      </c>
      <c r="F72" s="36" t="s">
        <v>204</v>
      </c>
      <c r="G72" s="39">
        <v>541</v>
      </c>
      <c r="H72" s="39">
        <v>1645</v>
      </c>
    </row>
    <row r="73" spans="1:8" x14ac:dyDescent="0.2">
      <c r="A73" s="35" t="s">
        <v>339</v>
      </c>
      <c r="B73" s="36" t="s">
        <v>134</v>
      </c>
      <c r="C73" s="46">
        <v>41592</v>
      </c>
      <c r="D73" s="36" t="s">
        <v>207</v>
      </c>
      <c r="E73" s="36">
        <v>72</v>
      </c>
      <c r="F73" s="36" t="s">
        <v>204</v>
      </c>
      <c r="G73" s="39">
        <v>466</v>
      </c>
      <c r="H73" s="39">
        <v>1205</v>
      </c>
    </row>
    <row r="74" spans="1:8" x14ac:dyDescent="0.2">
      <c r="A74" s="37" t="s">
        <v>340</v>
      </c>
      <c r="B74" s="39" t="s">
        <v>135</v>
      </c>
      <c r="C74" s="46">
        <v>41592</v>
      </c>
      <c r="D74" s="36" t="s">
        <v>207</v>
      </c>
      <c r="E74" s="36">
        <v>73</v>
      </c>
      <c r="F74" s="36" t="s">
        <v>204</v>
      </c>
      <c r="G74" s="39">
        <v>528</v>
      </c>
      <c r="H74" s="39">
        <v>1685</v>
      </c>
    </row>
    <row r="75" spans="1:8" x14ac:dyDescent="0.2">
      <c r="A75" s="35" t="s">
        <v>341</v>
      </c>
      <c r="B75" s="36" t="s">
        <v>136</v>
      </c>
      <c r="C75" s="46">
        <v>41592</v>
      </c>
      <c r="D75" s="36" t="s">
        <v>207</v>
      </c>
      <c r="E75" s="36">
        <v>74</v>
      </c>
      <c r="F75" s="36" t="s">
        <v>204</v>
      </c>
      <c r="G75" s="39">
        <v>542</v>
      </c>
      <c r="H75" s="39">
        <v>1750</v>
      </c>
    </row>
    <row r="76" spans="1:8" x14ac:dyDescent="0.2">
      <c r="A76" s="35" t="s">
        <v>342</v>
      </c>
      <c r="B76" s="36" t="s">
        <v>137</v>
      </c>
      <c r="C76" s="46">
        <v>41592</v>
      </c>
      <c r="D76" s="36" t="s">
        <v>207</v>
      </c>
      <c r="E76" s="36">
        <v>75</v>
      </c>
      <c r="F76" s="36" t="s">
        <v>204</v>
      </c>
      <c r="G76" s="39">
        <v>492</v>
      </c>
      <c r="H76" s="39">
        <v>1200</v>
      </c>
    </row>
    <row r="77" spans="1:8" x14ac:dyDescent="0.2">
      <c r="A77" s="35" t="s">
        <v>343</v>
      </c>
      <c r="B77" s="36" t="s">
        <v>138</v>
      </c>
      <c r="C77" s="46">
        <v>41592</v>
      </c>
      <c r="D77" s="36" t="s">
        <v>207</v>
      </c>
      <c r="E77" s="36">
        <v>76</v>
      </c>
      <c r="F77" s="36" t="s">
        <v>204</v>
      </c>
      <c r="G77" s="39">
        <v>525</v>
      </c>
      <c r="H77" s="39">
        <v>1560</v>
      </c>
    </row>
    <row r="78" spans="1:8" x14ac:dyDescent="0.2">
      <c r="A78" s="35" t="s">
        <v>344</v>
      </c>
      <c r="B78" s="36" t="s">
        <v>139</v>
      </c>
      <c r="C78" s="46">
        <v>41592</v>
      </c>
      <c r="D78" s="36" t="s">
        <v>207</v>
      </c>
      <c r="E78" s="36">
        <v>77</v>
      </c>
      <c r="F78" s="36" t="s">
        <v>204</v>
      </c>
      <c r="G78" s="39">
        <v>537</v>
      </c>
      <c r="H78" s="39">
        <v>1775</v>
      </c>
    </row>
    <row r="79" spans="1:8" x14ac:dyDescent="0.2">
      <c r="A79" s="35" t="s">
        <v>345</v>
      </c>
      <c r="B79" s="36" t="s">
        <v>140</v>
      </c>
      <c r="C79" s="46">
        <v>41592</v>
      </c>
      <c r="D79" s="36" t="s">
        <v>207</v>
      </c>
      <c r="E79" s="36">
        <v>78</v>
      </c>
      <c r="F79" s="36" t="s">
        <v>204</v>
      </c>
      <c r="G79" s="39">
        <v>518</v>
      </c>
      <c r="H79" s="39">
        <v>1560</v>
      </c>
    </row>
    <row r="80" spans="1:8" x14ac:dyDescent="0.2">
      <c r="A80" s="35" t="s">
        <v>346</v>
      </c>
      <c r="B80" s="36" t="s">
        <v>141</v>
      </c>
      <c r="C80" s="46">
        <v>41592</v>
      </c>
      <c r="D80" s="36" t="s">
        <v>207</v>
      </c>
      <c r="E80" s="36">
        <v>79</v>
      </c>
      <c r="F80" s="36" t="s">
        <v>204</v>
      </c>
      <c r="G80" s="39">
        <v>519</v>
      </c>
      <c r="H80" s="39">
        <v>1605</v>
      </c>
    </row>
    <row r="81" spans="1:9" x14ac:dyDescent="0.2">
      <c r="A81" s="35" t="s">
        <v>347</v>
      </c>
      <c r="B81" s="36" t="s">
        <v>142</v>
      </c>
      <c r="C81" s="46">
        <v>41592</v>
      </c>
      <c r="D81" s="36" t="s">
        <v>207</v>
      </c>
      <c r="E81" s="36">
        <v>80</v>
      </c>
      <c r="F81" s="36" t="s">
        <v>204</v>
      </c>
      <c r="G81" s="39">
        <v>540</v>
      </c>
      <c r="H81" s="39">
        <v>1785</v>
      </c>
    </row>
    <row r="82" spans="1:9" x14ac:dyDescent="0.2">
      <c r="A82" s="35" t="s">
        <v>348</v>
      </c>
      <c r="B82" s="36" t="s">
        <v>143</v>
      </c>
      <c r="C82" s="46">
        <v>41592</v>
      </c>
      <c r="D82" s="36" t="s">
        <v>207</v>
      </c>
      <c r="E82" s="36">
        <v>81</v>
      </c>
      <c r="F82" s="36" t="s">
        <v>204</v>
      </c>
      <c r="G82" s="39">
        <v>533</v>
      </c>
      <c r="H82" s="39">
        <v>1560</v>
      </c>
    </row>
    <row r="83" spans="1:9" x14ac:dyDescent="0.2">
      <c r="A83" s="35" t="s">
        <v>349</v>
      </c>
      <c r="B83" s="36" t="s">
        <v>144</v>
      </c>
      <c r="C83" s="46">
        <v>41592</v>
      </c>
      <c r="D83" s="36" t="s">
        <v>207</v>
      </c>
      <c r="E83" s="36">
        <v>82</v>
      </c>
      <c r="F83" s="36" t="s">
        <v>204</v>
      </c>
      <c r="G83" s="39">
        <v>525</v>
      </c>
      <c r="H83" s="39">
        <v>1475</v>
      </c>
    </row>
    <row r="84" spans="1:9" x14ac:dyDescent="0.2">
      <c r="A84" s="35" t="s">
        <v>350</v>
      </c>
      <c r="B84" s="36" t="s">
        <v>145</v>
      </c>
      <c r="C84" s="46">
        <v>41592</v>
      </c>
      <c r="D84" s="36" t="s">
        <v>207</v>
      </c>
      <c r="E84" s="36">
        <v>83</v>
      </c>
      <c r="F84" s="36" t="s">
        <v>204</v>
      </c>
      <c r="G84" s="39">
        <v>538</v>
      </c>
      <c r="H84" s="39">
        <v>1700</v>
      </c>
    </row>
    <row r="85" spans="1:9" x14ac:dyDescent="0.2">
      <c r="A85" s="35" t="s">
        <v>351</v>
      </c>
      <c r="B85" s="36" t="s">
        <v>146</v>
      </c>
      <c r="C85" s="46">
        <v>41592</v>
      </c>
      <c r="D85" s="36" t="s">
        <v>207</v>
      </c>
      <c r="E85" s="36">
        <v>84</v>
      </c>
      <c r="F85" s="36" t="s">
        <v>204</v>
      </c>
      <c r="G85" s="39">
        <v>494</v>
      </c>
      <c r="H85" s="39">
        <v>1265</v>
      </c>
    </row>
    <row r="86" spans="1:9" x14ac:dyDescent="0.2">
      <c r="A86" s="35" t="s">
        <v>352</v>
      </c>
      <c r="B86" s="36" t="s">
        <v>147</v>
      </c>
      <c r="C86" s="46">
        <v>41592</v>
      </c>
      <c r="D86" s="36" t="s">
        <v>207</v>
      </c>
      <c r="E86" s="36">
        <v>85</v>
      </c>
      <c r="F86" s="36" t="s">
        <v>204</v>
      </c>
      <c r="G86" s="39">
        <v>495</v>
      </c>
      <c r="H86" s="39">
        <v>1305</v>
      </c>
    </row>
    <row r="87" spans="1:9" x14ac:dyDescent="0.2">
      <c r="A87" s="35" t="s">
        <v>353</v>
      </c>
      <c r="B87" s="36" t="s">
        <v>148</v>
      </c>
      <c r="C87" s="46">
        <v>41592</v>
      </c>
      <c r="D87" s="36" t="s">
        <v>207</v>
      </c>
      <c r="E87" s="36">
        <v>86</v>
      </c>
      <c r="F87" s="36" t="s">
        <v>204</v>
      </c>
      <c r="G87" s="39">
        <v>505</v>
      </c>
      <c r="H87" s="39">
        <v>1420</v>
      </c>
    </row>
    <row r="88" spans="1:9" x14ac:dyDescent="0.2">
      <c r="A88" s="35" t="s">
        <v>354</v>
      </c>
      <c r="B88" s="36" t="s">
        <v>149</v>
      </c>
      <c r="C88" s="46">
        <v>41592</v>
      </c>
      <c r="D88" s="36" t="s">
        <v>207</v>
      </c>
      <c r="E88" s="36">
        <v>87</v>
      </c>
      <c r="F88" s="36" t="s">
        <v>204</v>
      </c>
      <c r="G88" s="39">
        <v>529</v>
      </c>
      <c r="H88" s="39">
        <v>1660</v>
      </c>
    </row>
    <row r="89" spans="1:9" x14ac:dyDescent="0.2">
      <c r="A89" s="35" t="s">
        <v>355</v>
      </c>
      <c r="B89" s="36" t="s">
        <v>150</v>
      </c>
      <c r="C89" s="46">
        <v>41592</v>
      </c>
      <c r="D89" s="36" t="s">
        <v>207</v>
      </c>
      <c r="E89" s="36">
        <v>88</v>
      </c>
      <c r="F89" s="36" t="s">
        <v>204</v>
      </c>
      <c r="G89" s="39">
        <v>521</v>
      </c>
      <c r="H89" s="39">
        <v>1585</v>
      </c>
    </row>
    <row r="90" spans="1:9" x14ac:dyDescent="0.2">
      <c r="A90" s="35" t="s">
        <v>356</v>
      </c>
      <c r="B90" s="36" t="s">
        <v>151</v>
      </c>
      <c r="C90" s="46">
        <v>41592</v>
      </c>
      <c r="D90" s="36" t="s">
        <v>207</v>
      </c>
      <c r="E90" s="36">
        <v>89</v>
      </c>
      <c r="F90" s="36" t="s">
        <v>204</v>
      </c>
      <c r="G90" s="39">
        <v>504</v>
      </c>
      <c r="H90" s="39">
        <v>1605</v>
      </c>
    </row>
    <row r="91" spans="1:9" x14ac:dyDescent="0.2">
      <c r="A91" s="35" t="s">
        <v>357</v>
      </c>
      <c r="B91" s="36" t="s">
        <v>152</v>
      </c>
      <c r="C91" s="46">
        <v>41592</v>
      </c>
      <c r="D91" s="36" t="s">
        <v>207</v>
      </c>
      <c r="E91" s="36">
        <v>90</v>
      </c>
      <c r="F91" s="36" t="s">
        <v>204</v>
      </c>
      <c r="G91" s="39">
        <v>482</v>
      </c>
      <c r="H91" s="39">
        <v>1110</v>
      </c>
      <c r="I91" s="39" t="s">
        <v>208</v>
      </c>
    </row>
    <row r="92" spans="1:9" x14ac:dyDescent="0.2">
      <c r="A92" s="35" t="s">
        <v>358</v>
      </c>
      <c r="B92" s="36" t="s">
        <v>153</v>
      </c>
      <c r="C92" s="46">
        <v>41592</v>
      </c>
      <c r="D92" s="36" t="s">
        <v>207</v>
      </c>
      <c r="E92" s="36">
        <v>91</v>
      </c>
      <c r="F92" s="36" t="s">
        <v>204</v>
      </c>
      <c r="G92" s="39">
        <v>552</v>
      </c>
      <c r="H92" s="39">
        <v>1900</v>
      </c>
    </row>
    <row r="93" spans="1:9" x14ac:dyDescent="0.2">
      <c r="A93" s="35" t="s">
        <v>359</v>
      </c>
      <c r="B93" s="36" t="s">
        <v>154</v>
      </c>
      <c r="C93" s="46">
        <v>41592</v>
      </c>
      <c r="D93" s="36" t="s">
        <v>207</v>
      </c>
      <c r="E93" s="36">
        <v>92</v>
      </c>
      <c r="F93" s="36" t="s">
        <v>204</v>
      </c>
      <c r="G93" s="39">
        <v>517</v>
      </c>
      <c r="H93" s="39">
        <v>1540</v>
      </c>
    </row>
    <row r="94" spans="1:9" x14ac:dyDescent="0.2">
      <c r="A94" s="35" t="s">
        <v>360</v>
      </c>
      <c r="B94" s="36" t="s">
        <v>155</v>
      </c>
      <c r="C94" s="46">
        <v>41592</v>
      </c>
      <c r="D94" s="36" t="s">
        <v>207</v>
      </c>
      <c r="E94" s="36">
        <v>93</v>
      </c>
      <c r="F94" s="36" t="s">
        <v>204</v>
      </c>
      <c r="G94" s="39">
        <v>516</v>
      </c>
      <c r="H94" s="39">
        <v>1590</v>
      </c>
    </row>
    <row r="95" spans="1:9" x14ac:dyDescent="0.2">
      <c r="A95" s="35" t="s">
        <v>361</v>
      </c>
      <c r="B95" s="36" t="s">
        <v>156</v>
      </c>
      <c r="C95" s="46">
        <v>41592</v>
      </c>
      <c r="D95" s="36" t="s">
        <v>207</v>
      </c>
      <c r="E95" s="36">
        <v>94</v>
      </c>
      <c r="F95" s="36" t="s">
        <v>204</v>
      </c>
      <c r="G95" s="39">
        <v>507</v>
      </c>
      <c r="H95" s="39">
        <v>1320</v>
      </c>
    </row>
    <row r="96" spans="1:9" x14ac:dyDescent="0.2">
      <c r="A96" s="35" t="s">
        <v>362</v>
      </c>
      <c r="B96" s="36" t="s">
        <v>157</v>
      </c>
      <c r="C96" s="46">
        <v>41592</v>
      </c>
      <c r="D96" s="36" t="s">
        <v>207</v>
      </c>
      <c r="E96" s="36">
        <v>95</v>
      </c>
      <c r="F96" s="36" t="s">
        <v>204</v>
      </c>
      <c r="G96" s="39">
        <v>542</v>
      </c>
      <c r="H96" s="39">
        <v>1765</v>
      </c>
    </row>
    <row r="97" spans="1:9" x14ac:dyDescent="0.2">
      <c r="A97" s="35" t="s">
        <v>363</v>
      </c>
      <c r="B97" s="36" t="s">
        <v>158</v>
      </c>
      <c r="C97" s="46">
        <v>41592</v>
      </c>
      <c r="D97" s="36" t="s">
        <v>207</v>
      </c>
      <c r="E97" s="36">
        <v>96</v>
      </c>
      <c r="F97" s="36" t="s">
        <v>204</v>
      </c>
      <c r="G97" s="39">
        <v>554</v>
      </c>
      <c r="H97" s="39">
        <v>1890</v>
      </c>
    </row>
    <row r="98" spans="1:9" x14ac:dyDescent="0.2">
      <c r="A98" s="35" t="s">
        <v>364</v>
      </c>
      <c r="B98" s="36" t="s">
        <v>159</v>
      </c>
      <c r="C98" s="46">
        <v>41592</v>
      </c>
      <c r="D98" s="36" t="s">
        <v>207</v>
      </c>
      <c r="E98" s="36">
        <v>97</v>
      </c>
      <c r="F98" s="36" t="s">
        <v>204</v>
      </c>
      <c r="G98" s="39">
        <v>487</v>
      </c>
      <c r="H98" s="39">
        <v>1365</v>
      </c>
    </row>
    <row r="99" spans="1:9" x14ac:dyDescent="0.2">
      <c r="A99" s="35" t="s">
        <v>365</v>
      </c>
      <c r="B99" s="36" t="s">
        <v>160</v>
      </c>
      <c r="C99" s="46">
        <v>41592</v>
      </c>
      <c r="D99" s="36" t="s">
        <v>207</v>
      </c>
      <c r="E99" s="36">
        <v>98</v>
      </c>
      <c r="F99" s="36" t="s">
        <v>204</v>
      </c>
      <c r="G99" s="39">
        <v>520</v>
      </c>
      <c r="H99" s="39">
        <v>1475</v>
      </c>
    </row>
    <row r="100" spans="1:9" x14ac:dyDescent="0.2">
      <c r="A100" s="35" t="s">
        <v>366</v>
      </c>
      <c r="B100" s="36" t="s">
        <v>161</v>
      </c>
      <c r="C100" s="46">
        <v>41592</v>
      </c>
      <c r="D100" s="36" t="s">
        <v>207</v>
      </c>
      <c r="E100" s="36">
        <v>99</v>
      </c>
      <c r="F100" s="36" t="s">
        <v>204</v>
      </c>
      <c r="G100" s="39">
        <v>530</v>
      </c>
      <c r="H100" s="39">
        <v>1600</v>
      </c>
    </row>
    <row r="101" spans="1:9" x14ac:dyDescent="0.2">
      <c r="A101" s="35" t="s">
        <v>367</v>
      </c>
      <c r="B101" s="36" t="s">
        <v>162</v>
      </c>
      <c r="C101" s="46">
        <v>41592</v>
      </c>
      <c r="D101" s="36" t="s">
        <v>207</v>
      </c>
      <c r="E101" s="36">
        <v>100</v>
      </c>
      <c r="F101" s="36" t="s">
        <v>204</v>
      </c>
      <c r="G101" s="39">
        <v>485</v>
      </c>
      <c r="H101" s="39">
        <v>1260</v>
      </c>
    </row>
    <row r="102" spans="1:9" x14ac:dyDescent="0.2">
      <c r="A102" s="35" t="s">
        <v>368</v>
      </c>
      <c r="B102" s="36" t="s">
        <v>163</v>
      </c>
      <c r="C102" s="46">
        <v>41592</v>
      </c>
      <c r="D102" s="36" t="s">
        <v>207</v>
      </c>
      <c r="E102" s="36">
        <v>101</v>
      </c>
      <c r="F102" s="36" t="s">
        <v>204</v>
      </c>
      <c r="G102" s="39">
        <v>490</v>
      </c>
      <c r="H102" s="39">
        <v>1265</v>
      </c>
    </row>
    <row r="103" spans="1:9" x14ac:dyDescent="0.2">
      <c r="A103" s="35" t="s">
        <v>369</v>
      </c>
      <c r="B103" s="36" t="s">
        <v>164</v>
      </c>
      <c r="C103" s="46">
        <v>41592</v>
      </c>
      <c r="D103" s="36" t="s">
        <v>207</v>
      </c>
      <c r="E103" s="36">
        <v>102</v>
      </c>
      <c r="F103" s="36" t="s">
        <v>204</v>
      </c>
      <c r="G103" s="39">
        <v>534</v>
      </c>
      <c r="H103" s="39">
        <v>1560</v>
      </c>
    </row>
    <row r="104" spans="1:9" x14ac:dyDescent="0.2">
      <c r="A104" s="35" t="s">
        <v>370</v>
      </c>
      <c r="B104" s="36" t="s">
        <v>165</v>
      </c>
      <c r="C104" s="46">
        <v>41592</v>
      </c>
      <c r="D104" s="36" t="s">
        <v>207</v>
      </c>
      <c r="E104" s="36">
        <v>103</v>
      </c>
      <c r="F104" s="36" t="s">
        <v>204</v>
      </c>
      <c r="G104" s="39">
        <v>528</v>
      </c>
      <c r="H104" s="39">
        <v>1675</v>
      </c>
    </row>
    <row r="105" spans="1:9" x14ac:dyDescent="0.2">
      <c r="A105" s="35" t="s">
        <v>371</v>
      </c>
      <c r="B105" s="36" t="s">
        <v>166</v>
      </c>
      <c r="C105" s="46">
        <v>41592</v>
      </c>
      <c r="D105" s="36" t="s">
        <v>207</v>
      </c>
      <c r="E105" s="36">
        <v>104</v>
      </c>
      <c r="F105" s="36" t="s">
        <v>204</v>
      </c>
      <c r="G105" s="39">
        <v>538</v>
      </c>
      <c r="H105" s="39">
        <v>1585</v>
      </c>
    </row>
    <row r="106" spans="1:9" x14ac:dyDescent="0.2">
      <c r="A106" s="35" t="s">
        <v>372</v>
      </c>
      <c r="B106" s="36" t="s">
        <v>167</v>
      </c>
      <c r="C106" s="46">
        <v>41592</v>
      </c>
      <c r="D106" s="36" t="s">
        <v>207</v>
      </c>
      <c r="E106" s="36">
        <v>105</v>
      </c>
      <c r="F106" s="36" t="s">
        <v>204</v>
      </c>
      <c r="G106" s="39">
        <v>496</v>
      </c>
      <c r="H106" s="39">
        <v>1375</v>
      </c>
    </row>
    <row r="107" spans="1:9" x14ac:dyDescent="0.2">
      <c r="A107" s="35" t="s">
        <v>373</v>
      </c>
      <c r="B107" s="36" t="s">
        <v>168</v>
      </c>
      <c r="C107" s="46">
        <v>41592</v>
      </c>
      <c r="D107" s="36" t="s">
        <v>207</v>
      </c>
      <c r="E107" s="36">
        <v>106</v>
      </c>
      <c r="F107" s="36" t="s">
        <v>204</v>
      </c>
      <c r="G107" s="39">
        <v>561</v>
      </c>
      <c r="H107" s="39">
        <v>1885</v>
      </c>
    </row>
    <row r="108" spans="1:9" x14ac:dyDescent="0.2">
      <c r="A108" s="35" t="s">
        <v>374</v>
      </c>
      <c r="B108" s="36" t="s">
        <v>169</v>
      </c>
      <c r="C108" s="46">
        <v>41592</v>
      </c>
      <c r="D108" s="36" t="s">
        <v>207</v>
      </c>
      <c r="E108" s="36">
        <v>107</v>
      </c>
      <c r="F108" s="36" t="s">
        <v>204</v>
      </c>
      <c r="G108" s="39">
        <v>535</v>
      </c>
      <c r="H108" s="39">
        <v>1745</v>
      </c>
    </row>
    <row r="109" spans="1:9" x14ac:dyDescent="0.2">
      <c r="A109" s="35" t="s">
        <v>375</v>
      </c>
      <c r="B109" s="36" t="s">
        <v>170</v>
      </c>
      <c r="C109" s="46">
        <v>41592</v>
      </c>
      <c r="D109" s="36" t="s">
        <v>207</v>
      </c>
      <c r="E109" s="36">
        <v>108</v>
      </c>
      <c r="F109" s="36" t="s">
        <v>204</v>
      </c>
      <c r="G109" s="39">
        <v>495</v>
      </c>
      <c r="H109" s="39">
        <v>1170</v>
      </c>
      <c r="I109" s="39" t="s">
        <v>208</v>
      </c>
    </row>
    <row r="110" spans="1:9" x14ac:dyDescent="0.2">
      <c r="A110" s="35" t="s">
        <v>376</v>
      </c>
      <c r="B110" s="36" t="s">
        <v>171</v>
      </c>
      <c r="C110" s="46">
        <v>41592</v>
      </c>
      <c r="D110" s="36" t="s">
        <v>207</v>
      </c>
      <c r="E110" s="36">
        <v>109</v>
      </c>
      <c r="F110" s="36" t="s">
        <v>204</v>
      </c>
      <c r="G110" s="39">
        <v>497</v>
      </c>
      <c r="H110" s="39">
        <v>1185</v>
      </c>
    </row>
    <row r="111" spans="1:9" x14ac:dyDescent="0.2">
      <c r="A111" s="35" t="s">
        <v>377</v>
      </c>
      <c r="B111" s="36" t="s">
        <v>172</v>
      </c>
      <c r="C111" s="46">
        <v>41592</v>
      </c>
      <c r="D111" s="36" t="s">
        <v>207</v>
      </c>
      <c r="E111" s="36">
        <v>110</v>
      </c>
      <c r="F111" s="36" t="s">
        <v>204</v>
      </c>
      <c r="G111" s="39">
        <v>543</v>
      </c>
      <c r="H111" s="39">
        <v>1810</v>
      </c>
    </row>
    <row r="112" spans="1:9" x14ac:dyDescent="0.2">
      <c r="A112" s="35" t="s">
        <v>378</v>
      </c>
      <c r="B112" s="36" t="s">
        <v>173</v>
      </c>
      <c r="C112" s="46">
        <v>41592</v>
      </c>
      <c r="D112" s="36" t="s">
        <v>207</v>
      </c>
      <c r="E112" s="36">
        <v>111</v>
      </c>
      <c r="F112" s="36" t="s">
        <v>204</v>
      </c>
      <c r="G112" s="39">
        <v>540</v>
      </c>
      <c r="H112" s="39">
        <v>1575</v>
      </c>
    </row>
    <row r="113" spans="1:9" x14ac:dyDescent="0.2">
      <c r="A113" s="35" t="s">
        <v>379</v>
      </c>
      <c r="B113" s="36" t="s">
        <v>174</v>
      </c>
      <c r="C113" s="46">
        <v>41592</v>
      </c>
      <c r="D113" s="36" t="s">
        <v>207</v>
      </c>
      <c r="E113" s="36">
        <v>112</v>
      </c>
      <c r="F113" s="36" t="s">
        <v>204</v>
      </c>
      <c r="G113" s="39">
        <v>498</v>
      </c>
      <c r="H113" s="39">
        <v>1440</v>
      </c>
    </row>
    <row r="114" spans="1:9" x14ac:dyDescent="0.2">
      <c r="A114" s="35" t="s">
        <v>380</v>
      </c>
      <c r="B114" s="36" t="s">
        <v>175</v>
      </c>
      <c r="C114" s="46">
        <v>41592</v>
      </c>
      <c r="D114" s="36" t="s">
        <v>207</v>
      </c>
      <c r="E114" s="36">
        <v>113</v>
      </c>
      <c r="F114" s="36" t="s">
        <v>204</v>
      </c>
      <c r="G114" s="39">
        <v>517</v>
      </c>
      <c r="H114" s="39">
        <v>1555</v>
      </c>
    </row>
    <row r="115" spans="1:9" x14ac:dyDescent="0.2">
      <c r="A115" s="35" t="s">
        <v>381</v>
      </c>
      <c r="B115" s="36" t="s">
        <v>176</v>
      </c>
      <c r="C115" s="46">
        <v>41592</v>
      </c>
      <c r="D115" s="36" t="s">
        <v>207</v>
      </c>
      <c r="E115" s="36">
        <v>114</v>
      </c>
      <c r="F115" s="36" t="s">
        <v>204</v>
      </c>
      <c r="G115" s="39">
        <v>538</v>
      </c>
      <c r="H115" s="39">
        <v>1530</v>
      </c>
    </row>
    <row r="116" spans="1:9" x14ac:dyDescent="0.2">
      <c r="A116" s="35" t="s">
        <v>382</v>
      </c>
      <c r="B116" s="36" t="s">
        <v>177</v>
      </c>
      <c r="C116" s="46">
        <v>41592</v>
      </c>
      <c r="D116" s="36" t="s">
        <v>207</v>
      </c>
      <c r="E116" s="36">
        <v>115</v>
      </c>
      <c r="F116" s="36" t="s">
        <v>204</v>
      </c>
      <c r="G116" s="39">
        <v>457</v>
      </c>
      <c r="H116" s="39">
        <v>1205</v>
      </c>
    </row>
    <row r="117" spans="1:9" x14ac:dyDescent="0.2">
      <c r="A117" s="35" t="s">
        <v>383</v>
      </c>
      <c r="B117" s="36" t="s">
        <v>178</v>
      </c>
      <c r="C117" s="46">
        <v>41592</v>
      </c>
      <c r="D117" s="36" t="s">
        <v>207</v>
      </c>
      <c r="E117" s="36">
        <v>116</v>
      </c>
      <c r="F117" s="36" t="s">
        <v>204</v>
      </c>
      <c r="G117" s="39">
        <v>540</v>
      </c>
      <c r="H117" s="39">
        <v>1505</v>
      </c>
    </row>
    <row r="118" spans="1:9" x14ac:dyDescent="0.2">
      <c r="A118" s="35" t="s">
        <v>384</v>
      </c>
      <c r="B118" s="36" t="s">
        <v>179</v>
      </c>
      <c r="C118" s="46">
        <v>41592</v>
      </c>
      <c r="D118" s="36" t="s">
        <v>207</v>
      </c>
      <c r="E118" s="36">
        <v>117</v>
      </c>
      <c r="F118" s="36" t="s">
        <v>204</v>
      </c>
      <c r="G118" s="39">
        <v>462</v>
      </c>
      <c r="H118" s="39">
        <v>1165</v>
      </c>
    </row>
    <row r="119" spans="1:9" x14ac:dyDescent="0.2">
      <c r="A119" s="35" t="s">
        <v>385</v>
      </c>
      <c r="B119" s="36" t="s">
        <v>180</v>
      </c>
      <c r="C119" s="46">
        <v>41592</v>
      </c>
      <c r="D119" s="36" t="s">
        <v>207</v>
      </c>
      <c r="E119" s="36">
        <v>118</v>
      </c>
      <c r="F119" s="36" t="s">
        <v>204</v>
      </c>
      <c r="G119" s="39">
        <v>488</v>
      </c>
      <c r="H119" s="39">
        <v>1290</v>
      </c>
    </row>
    <row r="120" spans="1:9" x14ac:dyDescent="0.2">
      <c r="A120" s="35" t="s">
        <v>386</v>
      </c>
      <c r="B120" s="36" t="s">
        <v>181</v>
      </c>
      <c r="C120" s="46">
        <v>41592</v>
      </c>
      <c r="D120" s="36" t="s">
        <v>207</v>
      </c>
      <c r="E120" s="36">
        <v>119</v>
      </c>
      <c r="F120" s="36" t="s">
        <v>204</v>
      </c>
      <c r="G120" s="39">
        <v>510</v>
      </c>
      <c r="H120" s="39">
        <v>1515</v>
      </c>
    </row>
    <row r="121" spans="1:9" x14ac:dyDescent="0.2">
      <c r="A121" s="35" t="s">
        <v>387</v>
      </c>
      <c r="B121" s="36" t="s">
        <v>182</v>
      </c>
      <c r="C121" s="46">
        <v>41592</v>
      </c>
      <c r="D121" s="36" t="s">
        <v>207</v>
      </c>
      <c r="E121" s="36">
        <v>120</v>
      </c>
      <c r="F121" s="36" t="s">
        <v>204</v>
      </c>
      <c r="G121" s="39">
        <v>416</v>
      </c>
      <c r="H121" s="39">
        <v>785</v>
      </c>
      <c r="I121" s="39" t="s">
        <v>208</v>
      </c>
    </row>
    <row r="122" spans="1:9" x14ac:dyDescent="0.2">
      <c r="A122" s="35" t="s">
        <v>388</v>
      </c>
      <c r="B122" s="36" t="s">
        <v>183</v>
      </c>
      <c r="C122" s="46">
        <v>41592</v>
      </c>
      <c r="D122" s="36" t="s">
        <v>207</v>
      </c>
      <c r="E122" s="36">
        <v>121</v>
      </c>
      <c r="F122" s="36" t="s">
        <v>204</v>
      </c>
      <c r="G122" s="39">
        <v>453</v>
      </c>
      <c r="H122" s="39">
        <v>960</v>
      </c>
      <c r="I122" s="39" t="s">
        <v>209</v>
      </c>
    </row>
    <row r="123" spans="1:9" x14ac:dyDescent="0.2">
      <c r="A123" s="35" t="s">
        <v>389</v>
      </c>
      <c r="B123" s="36" t="s">
        <v>184</v>
      </c>
      <c r="C123" s="46">
        <v>41592</v>
      </c>
      <c r="D123" s="36" t="s">
        <v>207</v>
      </c>
      <c r="E123" s="36">
        <v>122</v>
      </c>
      <c r="F123" s="36" t="s">
        <v>204</v>
      </c>
      <c r="G123" s="39">
        <v>507</v>
      </c>
      <c r="H123" s="39">
        <v>1430</v>
      </c>
    </row>
    <row r="124" spans="1:9" x14ac:dyDescent="0.2">
      <c r="A124" s="35" t="s">
        <v>390</v>
      </c>
      <c r="B124" s="36" t="s">
        <v>185</v>
      </c>
      <c r="C124" s="46">
        <v>41592</v>
      </c>
      <c r="D124" s="36" t="s">
        <v>207</v>
      </c>
      <c r="E124" s="36">
        <v>123</v>
      </c>
      <c r="F124" s="36" t="s">
        <v>204</v>
      </c>
      <c r="G124" s="39">
        <v>459</v>
      </c>
      <c r="H124" s="39">
        <v>1130</v>
      </c>
      <c r="I124" s="39" t="s">
        <v>208</v>
      </c>
    </row>
    <row r="125" spans="1:9" x14ac:dyDescent="0.2">
      <c r="A125" s="35" t="s">
        <v>391</v>
      </c>
      <c r="B125" s="36" t="s">
        <v>186</v>
      </c>
      <c r="C125" s="46">
        <v>41592</v>
      </c>
      <c r="D125" s="36" t="s">
        <v>207</v>
      </c>
      <c r="E125" s="36">
        <v>124</v>
      </c>
      <c r="F125" s="36" t="s">
        <v>204</v>
      </c>
      <c r="G125" s="39">
        <v>480</v>
      </c>
      <c r="H125" s="39">
        <v>1275</v>
      </c>
    </row>
    <row r="126" spans="1:9" x14ac:dyDescent="0.2">
      <c r="A126" s="35" t="s">
        <v>392</v>
      </c>
      <c r="B126" s="36" t="s">
        <v>187</v>
      </c>
      <c r="C126" s="46">
        <v>41592</v>
      </c>
      <c r="D126" s="36" t="s">
        <v>207</v>
      </c>
      <c r="E126" s="36">
        <v>125</v>
      </c>
      <c r="F126" s="36" t="s">
        <v>204</v>
      </c>
      <c r="G126" s="39">
        <v>514</v>
      </c>
      <c r="H126" s="39">
        <v>1370</v>
      </c>
    </row>
    <row r="127" spans="1:9" x14ac:dyDescent="0.2">
      <c r="A127" s="35" t="s">
        <v>393</v>
      </c>
      <c r="B127" s="36" t="s">
        <v>188</v>
      </c>
      <c r="C127" s="46">
        <v>41592</v>
      </c>
      <c r="D127" s="36" t="s">
        <v>207</v>
      </c>
      <c r="E127" s="36">
        <v>126</v>
      </c>
      <c r="F127" s="36" t="s">
        <v>204</v>
      </c>
      <c r="G127" s="39">
        <v>500</v>
      </c>
      <c r="H127" s="39">
        <v>1265</v>
      </c>
    </row>
    <row r="128" spans="1:9" x14ac:dyDescent="0.2">
      <c r="A128" s="35" t="s">
        <v>394</v>
      </c>
      <c r="B128" s="36" t="s">
        <v>189</v>
      </c>
      <c r="C128" s="46">
        <v>41592</v>
      </c>
      <c r="D128" s="36" t="s">
        <v>207</v>
      </c>
      <c r="E128" s="36">
        <v>127</v>
      </c>
      <c r="F128" s="36" t="s">
        <v>204</v>
      </c>
      <c r="G128" s="39">
        <v>506</v>
      </c>
      <c r="H128" s="39">
        <v>1420</v>
      </c>
    </row>
    <row r="129" spans="1:9" x14ac:dyDescent="0.2">
      <c r="A129" s="35" t="s">
        <v>395</v>
      </c>
      <c r="B129" s="36" t="s">
        <v>190</v>
      </c>
      <c r="C129" s="46">
        <v>41592</v>
      </c>
      <c r="D129" s="36" t="s">
        <v>207</v>
      </c>
      <c r="E129" s="36">
        <v>128</v>
      </c>
      <c r="F129" s="36" t="s">
        <v>204</v>
      </c>
      <c r="G129" s="39">
        <v>496</v>
      </c>
      <c r="H129" s="39">
        <v>1315</v>
      </c>
    </row>
    <row r="130" spans="1:9" x14ac:dyDescent="0.2">
      <c r="A130" s="35" t="s">
        <v>396</v>
      </c>
      <c r="B130" s="36" t="s">
        <v>191</v>
      </c>
      <c r="C130" s="46">
        <v>41592</v>
      </c>
      <c r="D130" s="36" t="s">
        <v>207</v>
      </c>
      <c r="E130" s="36">
        <v>129</v>
      </c>
      <c r="F130" s="36" t="s">
        <v>204</v>
      </c>
      <c r="G130" s="39">
        <v>463</v>
      </c>
      <c r="H130" s="39">
        <v>1210</v>
      </c>
    </row>
    <row r="131" spans="1:9" x14ac:dyDescent="0.2">
      <c r="A131" s="35" t="s">
        <v>397</v>
      </c>
      <c r="B131" s="36" t="s">
        <v>192</v>
      </c>
      <c r="C131" s="46">
        <v>41592</v>
      </c>
      <c r="D131" s="36" t="s">
        <v>207</v>
      </c>
      <c r="E131" s="36">
        <v>130</v>
      </c>
      <c r="F131" s="36" t="s">
        <v>204</v>
      </c>
      <c r="G131" s="39">
        <v>480</v>
      </c>
      <c r="H131" s="39">
        <v>1225</v>
      </c>
    </row>
    <row r="132" spans="1:9" x14ac:dyDescent="0.2">
      <c r="A132" s="35" t="s">
        <v>398</v>
      </c>
      <c r="B132" s="36" t="s">
        <v>193</v>
      </c>
      <c r="C132" s="46">
        <v>41592</v>
      </c>
      <c r="D132" s="36" t="s">
        <v>207</v>
      </c>
      <c r="E132" s="36">
        <v>131</v>
      </c>
      <c r="F132" s="36" t="s">
        <v>204</v>
      </c>
      <c r="G132" s="39">
        <v>485</v>
      </c>
      <c r="H132" s="39">
        <v>1330</v>
      </c>
    </row>
    <row r="133" spans="1:9" x14ac:dyDescent="0.2">
      <c r="A133" s="35" t="s">
        <v>399</v>
      </c>
      <c r="B133" s="36" t="s">
        <v>194</v>
      </c>
      <c r="C133" s="46">
        <v>41592</v>
      </c>
      <c r="D133" s="36" t="s">
        <v>207</v>
      </c>
      <c r="E133" s="36">
        <v>132</v>
      </c>
      <c r="F133" s="36" t="s">
        <v>204</v>
      </c>
      <c r="G133" s="39">
        <v>447</v>
      </c>
      <c r="H133" s="39">
        <v>1020</v>
      </c>
      <c r="I133" s="39" t="s">
        <v>210</v>
      </c>
    </row>
    <row r="134" spans="1:9" x14ac:dyDescent="0.2">
      <c r="A134" s="35" t="s">
        <v>400</v>
      </c>
      <c r="B134" s="36" t="s">
        <v>195</v>
      </c>
      <c r="C134" s="46">
        <v>41592</v>
      </c>
      <c r="D134" s="36" t="s">
        <v>207</v>
      </c>
      <c r="E134" s="36">
        <v>133</v>
      </c>
      <c r="F134" s="36" t="s">
        <v>204</v>
      </c>
      <c r="G134" s="39">
        <v>475</v>
      </c>
      <c r="H134" s="39">
        <v>1150</v>
      </c>
      <c r="I134" s="39" t="s">
        <v>209</v>
      </c>
    </row>
    <row r="135" spans="1:9" x14ac:dyDescent="0.2">
      <c r="A135" s="35" t="s">
        <v>401</v>
      </c>
      <c r="B135" s="36" t="s">
        <v>196</v>
      </c>
      <c r="C135" s="46">
        <v>41592</v>
      </c>
      <c r="D135" s="36" t="s">
        <v>207</v>
      </c>
      <c r="E135" s="36">
        <v>134</v>
      </c>
      <c r="F135" s="36" t="s">
        <v>204</v>
      </c>
      <c r="G135" s="39">
        <v>439</v>
      </c>
      <c r="H135" s="39">
        <v>1020</v>
      </c>
      <c r="I135" s="39" t="s">
        <v>211</v>
      </c>
    </row>
    <row r="136" spans="1:9" x14ac:dyDescent="0.2">
      <c r="A136" s="35" t="s">
        <v>402</v>
      </c>
      <c r="B136" s="36" t="s">
        <v>197</v>
      </c>
      <c r="C136" s="46">
        <v>41592</v>
      </c>
      <c r="D136" s="36" t="s">
        <v>207</v>
      </c>
      <c r="E136" s="36">
        <v>135</v>
      </c>
      <c r="F136" s="36" t="s">
        <v>204</v>
      </c>
      <c r="G136" s="39">
        <v>478</v>
      </c>
      <c r="H136" s="39">
        <v>1200</v>
      </c>
    </row>
    <row r="137" spans="1:9" x14ac:dyDescent="0.2">
      <c r="A137" s="35" t="s">
        <v>403</v>
      </c>
      <c r="B137" s="36" t="s">
        <v>198</v>
      </c>
      <c r="C137" s="46">
        <v>41592</v>
      </c>
      <c r="D137" s="36" t="s">
        <v>207</v>
      </c>
      <c r="E137" s="36">
        <v>136</v>
      </c>
      <c r="F137" s="36" t="s">
        <v>204</v>
      </c>
      <c r="G137" s="39">
        <v>513</v>
      </c>
      <c r="H137" s="39">
        <v>1440</v>
      </c>
    </row>
    <row r="138" spans="1:9" x14ac:dyDescent="0.2">
      <c r="A138" s="35" t="s">
        <v>404</v>
      </c>
      <c r="B138" s="36" t="s">
        <v>199</v>
      </c>
      <c r="C138" s="46">
        <v>41592</v>
      </c>
      <c r="D138" s="36" t="s">
        <v>207</v>
      </c>
      <c r="E138" s="36">
        <v>137</v>
      </c>
      <c r="F138" s="36" t="s">
        <v>204</v>
      </c>
      <c r="G138" s="39">
        <v>458</v>
      </c>
      <c r="H138" s="39">
        <v>1175</v>
      </c>
    </row>
    <row r="139" spans="1:9" x14ac:dyDescent="0.2">
      <c r="G139" s="37"/>
      <c r="H139" s="37"/>
    </row>
  </sheetData>
  <sortState xmlns:xlrd2="http://schemas.microsoft.com/office/spreadsheetml/2017/richdata2" ref="A2:I139">
    <sortCondition ref="B2:B139"/>
  </sortState>
  <mergeCells count="8">
    <mergeCell ref="J9:N9"/>
    <mergeCell ref="J10:N10"/>
    <mergeCell ref="J12:R12"/>
    <mergeCell ref="J3:Q3"/>
    <mergeCell ref="J4:R4"/>
    <mergeCell ref="J5:N5"/>
    <mergeCell ref="J6:N6"/>
    <mergeCell ref="J7:N7"/>
  </mergeCells>
  <conditionalFormatting sqref="A1:A1048576">
    <cfRule type="duplicateValues" dxfId="0" priority="1"/>
  </conditionalFormatting>
  <printOptions gridLines="1"/>
  <pageMargins left="0.7" right="0.7" top="0.75" bottom="0.7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5" sqref="B5"/>
    </sheetView>
  </sheetViews>
  <sheetFormatPr defaultRowHeight="15" x14ac:dyDescent="0.25"/>
  <cols>
    <col min="1" max="1" width="47.7109375" style="13" customWidth="1"/>
    <col min="2" max="2" width="48.7109375" style="14" customWidth="1"/>
    <col min="3" max="3" width="23.28515625" style="1" customWidth="1"/>
  </cols>
  <sheetData>
    <row r="1" spans="1:3" ht="15.75" thickBot="1" x14ac:dyDescent="0.3">
      <c r="A1" s="2" t="s">
        <v>4</v>
      </c>
      <c r="B1" s="3" t="s">
        <v>5</v>
      </c>
      <c r="C1" s="1" t="s">
        <v>6</v>
      </c>
    </row>
    <row r="2" spans="1:3" x14ac:dyDescent="0.25">
      <c r="A2" s="4" t="s">
        <v>7</v>
      </c>
      <c r="B2" s="5" t="s">
        <v>8</v>
      </c>
      <c r="C2" s="6" t="s">
        <v>9</v>
      </c>
    </row>
    <row r="3" spans="1:3" ht="18.75" x14ac:dyDescent="0.3">
      <c r="A3" s="4" t="s">
        <v>10</v>
      </c>
      <c r="B3" s="7"/>
      <c r="C3" s="6" t="s">
        <v>11</v>
      </c>
    </row>
    <row r="4" spans="1:3" ht="19.5" thickBot="1" x14ac:dyDescent="0.35">
      <c r="A4" s="4" t="s">
        <v>12</v>
      </c>
      <c r="B4" s="7"/>
      <c r="C4" s="6" t="s">
        <v>11</v>
      </c>
    </row>
    <row r="5" spans="1:3" ht="19.5" thickBot="1" x14ac:dyDescent="0.35">
      <c r="A5" s="4" t="s">
        <v>13</v>
      </c>
      <c r="B5" s="8"/>
      <c r="C5" s="6" t="s">
        <v>14</v>
      </c>
    </row>
    <row r="6" spans="1:3" ht="19.5" thickBot="1" x14ac:dyDescent="0.35">
      <c r="A6" s="4" t="s">
        <v>15</v>
      </c>
      <c r="B6" s="8"/>
      <c r="C6" s="6" t="s">
        <v>14</v>
      </c>
    </row>
    <row r="7" spans="1:3" ht="19.5" thickBot="1" x14ac:dyDescent="0.35">
      <c r="A7" s="4" t="s">
        <v>16</v>
      </c>
      <c r="B7" s="8"/>
      <c r="C7" s="6" t="s">
        <v>14</v>
      </c>
    </row>
    <row r="8" spans="1:3" ht="19.5" thickBot="1" x14ac:dyDescent="0.35">
      <c r="A8" s="4" t="s">
        <v>112</v>
      </c>
      <c r="B8" s="8"/>
      <c r="C8" s="6" t="s">
        <v>14</v>
      </c>
    </row>
    <row r="9" spans="1:3" ht="15.75" thickBot="1" x14ac:dyDescent="0.3">
      <c r="A9" s="4" t="s">
        <v>17</v>
      </c>
      <c r="B9" s="8"/>
      <c r="C9" s="6" t="s">
        <v>14</v>
      </c>
    </row>
    <row r="10" spans="1:3" ht="19.5" thickBot="1" x14ac:dyDescent="0.35">
      <c r="A10" s="4" t="s">
        <v>18</v>
      </c>
      <c r="B10" s="5" t="s">
        <v>19</v>
      </c>
      <c r="C10" s="6" t="s">
        <v>9</v>
      </c>
    </row>
    <row r="11" spans="1:3" ht="19.5" thickBot="1" x14ac:dyDescent="0.35">
      <c r="A11" s="4" t="s">
        <v>20</v>
      </c>
      <c r="B11" s="8"/>
      <c r="C11" s="6" t="s">
        <v>14</v>
      </c>
    </row>
    <row r="12" spans="1:3" ht="15.75" thickBot="1" x14ac:dyDescent="0.3">
      <c r="A12" s="4" t="s">
        <v>21</v>
      </c>
      <c r="B12" s="9" t="s">
        <v>22</v>
      </c>
      <c r="C12" s="6" t="s">
        <v>23</v>
      </c>
    </row>
    <row r="13" spans="1:3" ht="15.75" thickBot="1" x14ac:dyDescent="0.3">
      <c r="A13" s="4" t="s">
        <v>24</v>
      </c>
      <c r="B13" s="5" t="s">
        <v>8</v>
      </c>
      <c r="C13" s="6" t="s">
        <v>9</v>
      </c>
    </row>
    <row r="14" spans="1:3" ht="19.5" thickBot="1" x14ac:dyDescent="0.35">
      <c r="A14" s="4" t="s">
        <v>25</v>
      </c>
      <c r="B14" s="8"/>
      <c r="C14" s="6" t="s">
        <v>14</v>
      </c>
    </row>
    <row r="15" spans="1:3" ht="18.75" x14ac:dyDescent="0.3">
      <c r="A15" s="4" t="s">
        <v>26</v>
      </c>
      <c r="B15" s="5" t="s">
        <v>8</v>
      </c>
      <c r="C15" s="6" t="s">
        <v>9</v>
      </c>
    </row>
    <row r="16" spans="1:3" ht="15.75" thickBot="1" x14ac:dyDescent="0.3">
      <c r="A16" s="4" t="s">
        <v>27</v>
      </c>
      <c r="B16" s="5" t="s">
        <v>8</v>
      </c>
      <c r="C16" s="6" t="s">
        <v>9</v>
      </c>
    </row>
    <row r="17" spans="1:3" ht="19.5" thickBot="1" x14ac:dyDescent="0.35">
      <c r="A17" s="4" t="s">
        <v>28</v>
      </c>
      <c r="B17" s="8"/>
      <c r="C17" s="6" t="s">
        <v>14</v>
      </c>
    </row>
    <row r="18" spans="1:3" x14ac:dyDescent="0.25">
      <c r="A18" s="4" t="s">
        <v>29</v>
      </c>
      <c r="B18" s="5"/>
      <c r="C18" s="6"/>
    </row>
    <row r="19" spans="1:3" x14ac:dyDescent="0.25">
      <c r="A19" s="4" t="s">
        <v>30</v>
      </c>
      <c r="B19" s="5" t="s">
        <v>31</v>
      </c>
      <c r="C19" s="6" t="s">
        <v>11</v>
      </c>
    </row>
    <row r="20" spans="1:3" ht="15.75" thickBot="1" x14ac:dyDescent="0.3">
      <c r="A20" s="4"/>
      <c r="B20" s="5"/>
      <c r="C20" s="6"/>
    </row>
    <row r="21" spans="1:3" ht="15.75" thickBot="1" x14ac:dyDescent="0.3">
      <c r="A21" s="4" t="s">
        <v>32</v>
      </c>
      <c r="B21" s="10"/>
      <c r="C21" s="6" t="s">
        <v>14</v>
      </c>
    </row>
    <row r="22" spans="1:3" x14ac:dyDescent="0.25">
      <c r="A22" s="4" t="s">
        <v>33</v>
      </c>
      <c r="B22" s="5" t="s">
        <v>34</v>
      </c>
      <c r="C22" s="6"/>
    </row>
    <row r="23" spans="1:3" x14ac:dyDescent="0.25">
      <c r="A23" s="4"/>
      <c r="B23" s="5"/>
      <c r="C23" s="6"/>
    </row>
    <row r="24" spans="1:3" ht="15.75" thickBot="1" x14ac:dyDescent="0.3">
      <c r="A24" s="11" t="s">
        <v>35</v>
      </c>
      <c r="B24" s="12"/>
      <c r="C24" s="6"/>
    </row>
  </sheetData>
  <sheetProtection password="CA35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'Workbook data'!$G$1:$G$8</xm:f>
          </x14:formula1>
          <xm:sqref>B14</xm:sqref>
        </x14:dataValidation>
        <x14:dataValidation type="list" allowBlank="1" showInputMessage="1" showErrorMessage="1" xr:uid="{00000000-0002-0000-0100-000001000000}">
          <x14:formula1>
            <xm:f>'Workbook data'!$F$1:$F$3</xm:f>
          </x14:formula1>
          <xm:sqref>B11</xm:sqref>
        </x14:dataValidation>
        <x14:dataValidation type="list" allowBlank="1" showInputMessage="1" showErrorMessage="1" xr:uid="{00000000-0002-0000-0100-000002000000}">
          <x14:formula1>
            <xm:f>'Workbook data'!$E$1:$E$33</xm:f>
          </x14:formula1>
          <xm:sqref>B9</xm:sqref>
        </x14:dataValidation>
        <x14:dataValidation type="list" allowBlank="1" showInputMessage="1" showErrorMessage="1" xr:uid="{00000000-0002-0000-0100-000003000000}">
          <x14:formula1>
            <xm:f>'Workbook data'!$D$1:$D$13</xm:f>
          </x14:formula1>
          <xm:sqref>B21</xm:sqref>
        </x14:dataValidation>
        <x14:dataValidation type="list" allowBlank="1" showInputMessage="1" showErrorMessage="1" xr:uid="{00000000-0002-0000-0100-000004000000}">
          <x14:formula1>
            <xm:f>'Workbook data'!$C$1:$C$2</xm:f>
          </x14:formula1>
          <xm:sqref>B17</xm:sqref>
        </x14:dataValidation>
        <x14:dataValidation type="list" allowBlank="1" showInputMessage="1" showErrorMessage="1" xr:uid="{00000000-0002-0000-0100-000005000000}">
          <x14:formula1>
            <xm:f>'Workbook data'!$B$1:$B$4</xm:f>
          </x14:formula1>
          <xm:sqref>B6</xm:sqref>
        </x14:dataValidation>
        <x14:dataValidation type="list" allowBlank="1" showInputMessage="1" showErrorMessage="1" xr:uid="{00000000-0002-0000-0100-000006000000}">
          <x14:formula1>
            <xm:f>'Workbook data'!$A$1:$A$5</xm:f>
          </x14:formula1>
          <xm:sqref>B5 B7:B8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41.5703125" style="13" customWidth="1"/>
    <col min="2" max="2" width="40.7109375" style="14" customWidth="1"/>
    <col min="3" max="3" width="23.7109375" style="1" customWidth="1"/>
  </cols>
  <sheetData>
    <row r="1" spans="1:3" ht="15.75" thickBot="1" x14ac:dyDescent="0.3">
      <c r="A1" s="15" t="s">
        <v>36</v>
      </c>
      <c r="B1" s="3" t="s">
        <v>5</v>
      </c>
      <c r="C1" s="16" t="s">
        <v>37</v>
      </c>
    </row>
    <row r="2" spans="1:3" x14ac:dyDescent="0.25">
      <c r="A2" s="4" t="s">
        <v>38</v>
      </c>
      <c r="B2" s="5" t="s">
        <v>39</v>
      </c>
      <c r="C2" s="6"/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ht="15.75" x14ac:dyDescent="0.25">
      <c r="A5" s="4" t="s">
        <v>40</v>
      </c>
      <c r="B5" s="5" t="s">
        <v>8</v>
      </c>
      <c r="C5" s="6" t="s">
        <v>9</v>
      </c>
    </row>
    <row r="6" spans="1:3" x14ac:dyDescent="0.25">
      <c r="A6" s="4" t="s">
        <v>41</v>
      </c>
      <c r="B6" s="5" t="s">
        <v>22</v>
      </c>
      <c r="C6" s="6" t="s">
        <v>42</v>
      </c>
    </row>
    <row r="7" spans="1:3" x14ac:dyDescent="0.25">
      <c r="A7" s="4" t="s">
        <v>43</v>
      </c>
      <c r="B7" s="5" t="s">
        <v>44</v>
      </c>
      <c r="C7" s="6" t="s">
        <v>9</v>
      </c>
    </row>
    <row r="8" spans="1:3" x14ac:dyDescent="0.25">
      <c r="A8" s="4" t="s">
        <v>45</v>
      </c>
      <c r="B8" s="5" t="s">
        <v>44</v>
      </c>
      <c r="C8" s="6" t="s">
        <v>9</v>
      </c>
    </row>
    <row r="9" spans="1:3" x14ac:dyDescent="0.25">
      <c r="A9" s="4"/>
      <c r="B9" s="5"/>
      <c r="C9" s="6"/>
    </row>
    <row r="10" spans="1:3" ht="19.5" thickBot="1" x14ac:dyDescent="0.35">
      <c r="A10" s="4" t="s">
        <v>46</v>
      </c>
      <c r="B10" s="7" t="s">
        <v>47</v>
      </c>
      <c r="C10" s="17" t="s">
        <v>48</v>
      </c>
    </row>
    <row r="11" spans="1:3" ht="19.5" thickBot="1" x14ac:dyDescent="0.35">
      <c r="A11" s="4" t="s">
        <v>49</v>
      </c>
      <c r="B11" s="10"/>
      <c r="C11" s="6" t="s">
        <v>14</v>
      </c>
    </row>
    <row r="12" spans="1:3" x14ac:dyDescent="0.25">
      <c r="A12" s="4" t="s">
        <v>50</v>
      </c>
      <c r="B12" s="5" t="s">
        <v>19</v>
      </c>
      <c r="C12" s="6" t="s">
        <v>9</v>
      </c>
    </row>
    <row r="13" spans="1:3" x14ac:dyDescent="0.25">
      <c r="A13" s="4" t="s">
        <v>51</v>
      </c>
      <c r="B13" s="5" t="s">
        <v>52</v>
      </c>
      <c r="C13" s="6"/>
    </row>
    <row r="14" spans="1:3" x14ac:dyDescent="0.25">
      <c r="A14" s="4" t="s">
        <v>53</v>
      </c>
      <c r="B14" s="5" t="s">
        <v>54</v>
      </c>
      <c r="C14" s="6"/>
    </row>
    <row r="15" spans="1:3" x14ac:dyDescent="0.25">
      <c r="A15" s="4"/>
      <c r="B15" s="5"/>
      <c r="C15" s="6"/>
    </row>
    <row r="16" spans="1:3" x14ac:dyDescent="0.25">
      <c r="A16" s="4" t="s">
        <v>55</v>
      </c>
      <c r="B16" s="5" t="s">
        <v>56</v>
      </c>
      <c r="C16" s="6" t="s">
        <v>9</v>
      </c>
    </row>
    <row r="17" spans="1:3" x14ac:dyDescent="0.25">
      <c r="A17" s="4" t="s">
        <v>57</v>
      </c>
      <c r="B17" s="5" t="s">
        <v>56</v>
      </c>
      <c r="C17" s="6" t="s">
        <v>9</v>
      </c>
    </row>
    <row r="18" spans="1:3" ht="15.75" thickBot="1" x14ac:dyDescent="0.3">
      <c r="A18" s="4"/>
      <c r="B18" s="5"/>
      <c r="C18" s="6"/>
    </row>
    <row r="19" spans="1:3" ht="15.75" thickBot="1" x14ac:dyDescent="0.3">
      <c r="A19" s="4" t="s">
        <v>58</v>
      </c>
      <c r="B19" s="18">
        <f>COUNT('ID Base:Post tagging form'!C2:C3000)</f>
        <v>137</v>
      </c>
      <c r="C19" s="6" t="s">
        <v>59</v>
      </c>
    </row>
    <row r="20" spans="1:3" ht="15.75" thickBot="1" x14ac:dyDescent="0.3">
      <c r="A20" s="4"/>
      <c r="B20" s="5"/>
      <c r="C20" s="6"/>
    </row>
    <row r="21" spans="1:3" ht="19.5" thickBot="1" x14ac:dyDescent="0.35">
      <c r="A21" s="4" t="s">
        <v>60</v>
      </c>
      <c r="B21" s="8"/>
      <c r="C21" s="6" t="s">
        <v>14</v>
      </c>
    </row>
    <row r="22" spans="1:3" x14ac:dyDescent="0.25">
      <c r="A22" s="4" t="s">
        <v>61</v>
      </c>
      <c r="B22" s="5" t="s">
        <v>56</v>
      </c>
      <c r="C22" s="6"/>
    </row>
    <row r="23" spans="1:3" x14ac:dyDescent="0.25">
      <c r="A23" s="4" t="s">
        <v>62</v>
      </c>
      <c r="B23" s="5"/>
      <c r="C23" s="6"/>
    </row>
    <row r="24" spans="1:3" ht="15.75" thickBot="1" x14ac:dyDescent="0.3">
      <c r="A24" s="4"/>
      <c r="B24" s="5"/>
      <c r="C24" s="6"/>
    </row>
    <row r="25" spans="1:3" ht="15.75" thickBot="1" x14ac:dyDescent="0.3">
      <c r="A25" s="4" t="s">
        <v>63</v>
      </c>
      <c r="B25" s="18">
        <f>AVERAGE('ID Base:Post tagging form'!C2:C3000)</f>
        <v>41591.635036496351</v>
      </c>
      <c r="C25" s="6" t="s">
        <v>59</v>
      </c>
    </row>
    <row r="26" spans="1:3" ht="15.75" thickBot="1" x14ac:dyDescent="0.3">
      <c r="A26" s="4" t="s">
        <v>64</v>
      </c>
      <c r="B26" s="18">
        <f>MIN('ID Base:Post tagging form'!C3:C3000)</f>
        <v>41591</v>
      </c>
      <c r="C26" s="6" t="s">
        <v>59</v>
      </c>
    </row>
    <row r="27" spans="1:3" ht="15.75" thickBot="1" x14ac:dyDescent="0.3">
      <c r="A27" s="4" t="s">
        <v>65</v>
      </c>
      <c r="B27" s="18">
        <f>MAX('ID Base:Post tagging form'!C2:C3000)</f>
        <v>41592</v>
      </c>
      <c r="C27" s="6" t="s">
        <v>59</v>
      </c>
    </row>
    <row r="28" spans="1:3" ht="15.75" thickBot="1" x14ac:dyDescent="0.3">
      <c r="A28" s="4"/>
      <c r="B28" s="19"/>
      <c r="C28" s="6"/>
    </row>
    <row r="29" spans="1:3" ht="15.75" thickBot="1" x14ac:dyDescent="0.3">
      <c r="A29" s="4" t="s">
        <v>66</v>
      </c>
      <c r="B29" s="18" t="e">
        <f>AVERAGE('ID Base:Post tagging form'!D2:D3000)</f>
        <v>#DIV/0!</v>
      </c>
      <c r="C29" s="6" t="s">
        <v>59</v>
      </c>
    </row>
    <row r="30" spans="1:3" ht="15.75" thickBot="1" x14ac:dyDescent="0.3">
      <c r="A30" s="4" t="s">
        <v>67</v>
      </c>
      <c r="B30" s="18">
        <f>MIN('ID Base:Post tagging form'!D2:D3000)</f>
        <v>0</v>
      </c>
      <c r="C30" s="6" t="s">
        <v>59</v>
      </c>
    </row>
    <row r="31" spans="1:3" ht="15.75" thickBot="1" x14ac:dyDescent="0.3">
      <c r="A31" s="4" t="s">
        <v>68</v>
      </c>
      <c r="B31" s="18">
        <f>MAX('ID Base:Post tagging form'!D2:D3000)</f>
        <v>0</v>
      </c>
      <c r="C31" s="6" t="s">
        <v>59</v>
      </c>
    </row>
    <row r="32" spans="1:3" x14ac:dyDescent="0.25">
      <c r="A32" s="4"/>
      <c r="B32" s="5"/>
      <c r="C32" s="6"/>
    </row>
    <row r="33" spans="1:3" x14ac:dyDescent="0.25">
      <c r="A33" s="4" t="s">
        <v>69</v>
      </c>
      <c r="B33" s="5" t="s">
        <v>39</v>
      </c>
      <c r="C33" s="6"/>
    </row>
    <row r="34" spans="1:3" x14ac:dyDescent="0.25">
      <c r="A34" s="4"/>
      <c r="B34" s="5" t="s">
        <v>70</v>
      </c>
      <c r="C34" s="6"/>
    </row>
    <row r="35" spans="1:3" x14ac:dyDescent="0.25">
      <c r="A35" s="4" t="s">
        <v>27</v>
      </c>
      <c r="B35" s="5" t="s">
        <v>8</v>
      </c>
      <c r="C35" s="6"/>
    </row>
    <row r="36" spans="1:3" ht="15.75" thickBot="1" x14ac:dyDescent="0.3">
      <c r="A36" s="4"/>
      <c r="B36" s="5"/>
      <c r="C36" s="6"/>
    </row>
    <row r="37" spans="1:3" ht="15.75" thickBot="1" x14ac:dyDescent="0.3">
      <c r="A37" s="4" t="s">
        <v>71</v>
      </c>
      <c r="B37" s="8"/>
      <c r="C37" s="6" t="s">
        <v>14</v>
      </c>
    </row>
    <row r="38" spans="1:3" x14ac:dyDescent="0.25">
      <c r="A38" s="4" t="s">
        <v>72</v>
      </c>
      <c r="B38" s="5"/>
      <c r="C38" s="6"/>
    </row>
    <row r="39" spans="1:3" x14ac:dyDescent="0.25">
      <c r="A39" s="4" t="s">
        <v>73</v>
      </c>
      <c r="B39" s="5" t="s">
        <v>74</v>
      </c>
      <c r="C39" s="6"/>
    </row>
    <row r="40" spans="1:3" ht="15.75" thickBot="1" x14ac:dyDescent="0.3">
      <c r="A40" s="20"/>
      <c r="B40" s="12"/>
      <c r="C40" s="6"/>
    </row>
  </sheetData>
  <sheetProtection password="CA35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'Workbook data'!$D$1:$D$5</xm:f>
          </x14:formula1>
          <xm:sqref>B11</xm:sqref>
        </x14:dataValidation>
        <x14:dataValidation type="list" allowBlank="1" showInputMessage="1" showErrorMessage="1" xr:uid="{00000000-0002-0000-0200-000001000000}">
          <x14:formula1>
            <xm:f>'Workbook data'!$C$1:$C$2</xm:f>
          </x14:formula1>
          <xm:sqref>B37 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5"/>
  <sheetViews>
    <sheetView workbookViewId="0">
      <selection activeCell="B2" sqref="B2"/>
    </sheetView>
  </sheetViews>
  <sheetFormatPr defaultRowHeight="15" x14ac:dyDescent="0.25"/>
  <cols>
    <col min="1" max="1" width="58.7109375" style="1" customWidth="1"/>
    <col min="2" max="2" width="48.7109375" style="14" customWidth="1"/>
    <col min="3" max="3" width="17.85546875" style="14" customWidth="1"/>
    <col min="4" max="4" width="60" customWidth="1"/>
    <col min="5" max="5" width="14.7109375" customWidth="1"/>
    <col min="10" max="10" width="8.85546875" customWidth="1"/>
  </cols>
  <sheetData>
    <row r="1" spans="1:10" ht="19.5" thickBot="1" x14ac:dyDescent="0.35">
      <c r="A1" s="2" t="s">
        <v>75</v>
      </c>
      <c r="B1" s="21" t="s">
        <v>76</v>
      </c>
      <c r="C1" s="1" t="s">
        <v>5</v>
      </c>
      <c r="D1" s="22" t="s">
        <v>77</v>
      </c>
    </row>
    <row r="2" spans="1:10" ht="15.75" thickBot="1" x14ac:dyDescent="0.3">
      <c r="A2" s="4" t="s">
        <v>78</v>
      </c>
      <c r="B2" s="8"/>
      <c r="C2" s="6" t="s">
        <v>14</v>
      </c>
      <c r="D2" s="23" t="s">
        <v>80</v>
      </c>
    </row>
    <row r="3" spans="1:10" x14ac:dyDescent="0.25">
      <c r="A3" s="4" t="s">
        <v>81</v>
      </c>
      <c r="B3" s="5"/>
      <c r="C3" s="6"/>
      <c r="D3" s="24" t="s">
        <v>82</v>
      </c>
    </row>
    <row r="4" spans="1:10" x14ac:dyDescent="0.25">
      <c r="A4" s="4" t="s">
        <v>83</v>
      </c>
      <c r="B4" s="5"/>
      <c r="C4" s="6"/>
      <c r="D4" s="25"/>
    </row>
    <row r="5" spans="1:10" x14ac:dyDescent="0.25">
      <c r="A5" s="4"/>
      <c r="B5" s="5"/>
      <c r="C5" s="6"/>
    </row>
    <row r="6" spans="1:10" x14ac:dyDescent="0.25">
      <c r="A6" s="4" t="s">
        <v>84</v>
      </c>
      <c r="B6" s="5" t="s">
        <v>39</v>
      </c>
      <c r="C6" s="6"/>
    </row>
    <row r="7" spans="1:10" ht="15.75" thickBot="1" x14ac:dyDescent="0.3">
      <c r="A7" s="4"/>
      <c r="B7" s="5"/>
      <c r="C7" s="6"/>
    </row>
    <row r="8" spans="1:10" ht="15.75" thickBot="1" x14ac:dyDescent="0.3">
      <c r="A8" s="26" t="s">
        <v>85</v>
      </c>
      <c r="B8" s="5"/>
      <c r="C8" s="6"/>
    </row>
    <row r="9" spans="1:10" ht="15.75" thickBot="1" x14ac:dyDescent="0.3">
      <c r="A9" s="27"/>
      <c r="B9" s="12"/>
      <c r="C9" s="6"/>
      <c r="F9" s="28"/>
      <c r="H9" s="28"/>
      <c r="I9" s="28"/>
    </row>
    <row r="10" spans="1:10" ht="15.75" thickBot="1" x14ac:dyDescent="0.3">
      <c r="A10" s="29" t="s">
        <v>86</v>
      </c>
      <c r="B10" s="9" t="s">
        <v>87</v>
      </c>
      <c r="C10" s="30" t="s">
        <v>23</v>
      </c>
      <c r="D10" s="6" t="s">
        <v>88</v>
      </c>
      <c r="E10" s="31">
        <f>COUNTA(B11:B200)</f>
        <v>0</v>
      </c>
      <c r="F10" s="28"/>
      <c r="I10" s="28"/>
      <c r="J10" s="28"/>
    </row>
    <row r="11" spans="1:10" x14ac:dyDescent="0.25">
      <c r="A11" s="6"/>
      <c r="C11" s="30" t="s">
        <v>76</v>
      </c>
      <c r="D11" s="6" t="s">
        <v>89</v>
      </c>
      <c r="E11" s="32">
        <f>COUNT('ID Base:Post event data management'!C2:C3000)</f>
        <v>137</v>
      </c>
      <c r="I11" s="28"/>
      <c r="J11" s="28"/>
    </row>
    <row r="12" spans="1:10" x14ac:dyDescent="0.25">
      <c r="A12" s="6"/>
      <c r="C12" s="30" t="s">
        <v>76</v>
      </c>
      <c r="D12" s="6" t="s">
        <v>90</v>
      </c>
      <c r="E12" s="32">
        <f>E11-E10</f>
        <v>137</v>
      </c>
    </row>
    <row r="13" spans="1:10" x14ac:dyDescent="0.25">
      <c r="A13" s="6"/>
      <c r="C13" s="30" t="s">
        <v>76</v>
      </c>
    </row>
    <row r="14" spans="1:10" x14ac:dyDescent="0.25">
      <c r="A14" s="6"/>
      <c r="C14" s="30" t="s">
        <v>76</v>
      </c>
      <c r="E14" s="28"/>
      <c r="F14" s="28"/>
      <c r="J14" s="28"/>
    </row>
    <row r="15" spans="1:10" x14ac:dyDescent="0.25">
      <c r="A15" s="6"/>
      <c r="C15" s="30" t="s">
        <v>76</v>
      </c>
      <c r="E15" s="28"/>
      <c r="F15" s="28"/>
      <c r="J15" s="28"/>
    </row>
    <row r="16" spans="1:10" x14ac:dyDescent="0.25">
      <c r="A16" s="6"/>
      <c r="C16" s="30" t="s">
        <v>76</v>
      </c>
      <c r="E16" s="28"/>
      <c r="F16" s="28"/>
      <c r="G16" s="28"/>
      <c r="J16" s="28"/>
    </row>
    <row r="17" spans="1:10" x14ac:dyDescent="0.25">
      <c r="A17" s="6"/>
      <c r="C17" s="30" t="s">
        <v>76</v>
      </c>
      <c r="E17" s="28"/>
      <c r="F17" s="28"/>
      <c r="J17" s="28"/>
    </row>
    <row r="18" spans="1:10" x14ac:dyDescent="0.25">
      <c r="A18" s="6"/>
      <c r="C18" s="30" t="s">
        <v>76</v>
      </c>
      <c r="E18" s="28"/>
      <c r="F18" s="28"/>
      <c r="J18" s="28"/>
    </row>
    <row r="19" spans="1:10" x14ac:dyDescent="0.25">
      <c r="A19" s="6"/>
      <c r="C19" s="30" t="s">
        <v>76</v>
      </c>
      <c r="E19" s="28"/>
      <c r="F19" s="28"/>
    </row>
    <row r="20" spans="1:10" x14ac:dyDescent="0.25">
      <c r="A20" s="6"/>
      <c r="C20" s="30" t="s">
        <v>76</v>
      </c>
    </row>
    <row r="21" spans="1:10" x14ac:dyDescent="0.25">
      <c r="A21" s="6"/>
      <c r="C21" s="30" t="s">
        <v>76</v>
      </c>
    </row>
    <row r="22" spans="1:10" x14ac:dyDescent="0.25">
      <c r="A22" s="6"/>
      <c r="C22" s="30" t="s">
        <v>76</v>
      </c>
      <c r="J22" s="28"/>
    </row>
    <row r="23" spans="1:10" x14ac:dyDescent="0.25">
      <c r="A23" s="6"/>
      <c r="C23" s="30" t="s">
        <v>76</v>
      </c>
      <c r="F23" s="28"/>
      <c r="J23" s="28"/>
    </row>
    <row r="24" spans="1:10" x14ac:dyDescent="0.25">
      <c r="A24" s="6"/>
      <c r="C24" s="30" t="s">
        <v>76</v>
      </c>
      <c r="D24" s="28"/>
      <c r="F24" s="28"/>
      <c r="I24" s="28"/>
      <c r="J24" s="28"/>
    </row>
    <row r="25" spans="1:10" x14ac:dyDescent="0.25">
      <c r="A25" s="6"/>
      <c r="C25" s="30" t="s">
        <v>76</v>
      </c>
      <c r="D25" s="28"/>
      <c r="F25" s="28"/>
      <c r="I25" s="28"/>
      <c r="J25" s="28"/>
    </row>
    <row r="26" spans="1:10" x14ac:dyDescent="0.25">
      <c r="A26" s="6"/>
      <c r="C26" s="30" t="s">
        <v>76</v>
      </c>
    </row>
    <row r="27" spans="1:10" x14ac:dyDescent="0.25">
      <c r="A27" s="6"/>
      <c r="C27" s="30" t="s">
        <v>76</v>
      </c>
    </row>
    <row r="28" spans="1:10" x14ac:dyDescent="0.25">
      <c r="A28" s="6"/>
      <c r="C28" s="30" t="s">
        <v>76</v>
      </c>
    </row>
    <row r="29" spans="1:10" x14ac:dyDescent="0.25">
      <c r="A29" s="6"/>
      <c r="C29" s="30" t="s">
        <v>76</v>
      </c>
    </row>
    <row r="30" spans="1:10" x14ac:dyDescent="0.25">
      <c r="A30" s="6"/>
      <c r="C30" s="30" t="s">
        <v>76</v>
      </c>
    </row>
    <row r="31" spans="1:10" x14ac:dyDescent="0.25">
      <c r="A31" s="6"/>
      <c r="C31" s="30" t="s">
        <v>76</v>
      </c>
    </row>
    <row r="32" spans="1:10" x14ac:dyDescent="0.25">
      <c r="A32" s="6"/>
      <c r="C32" s="30" t="s">
        <v>76</v>
      </c>
    </row>
    <row r="33" spans="1:3" x14ac:dyDescent="0.25">
      <c r="A33" s="6"/>
      <c r="C33" s="30" t="s">
        <v>76</v>
      </c>
    </row>
    <row r="34" spans="1:3" x14ac:dyDescent="0.25">
      <c r="A34" s="6"/>
      <c r="C34" s="30" t="s">
        <v>76</v>
      </c>
    </row>
    <row r="35" spans="1:3" x14ac:dyDescent="0.25">
      <c r="A35" s="6"/>
      <c r="C35" s="30" t="s">
        <v>76</v>
      </c>
    </row>
    <row r="36" spans="1:3" x14ac:dyDescent="0.25">
      <c r="A36" s="6"/>
      <c r="C36" s="30" t="s">
        <v>76</v>
      </c>
    </row>
    <row r="37" spans="1:3" x14ac:dyDescent="0.25">
      <c r="A37" s="6"/>
      <c r="C37" s="30" t="s">
        <v>76</v>
      </c>
    </row>
    <row r="38" spans="1:3" x14ac:dyDescent="0.25">
      <c r="A38" s="6"/>
      <c r="C38" s="30" t="s">
        <v>76</v>
      </c>
    </row>
    <row r="39" spans="1:3" x14ac:dyDescent="0.25">
      <c r="A39" s="6"/>
      <c r="C39" s="30" t="s">
        <v>76</v>
      </c>
    </row>
    <row r="40" spans="1:3" x14ac:dyDescent="0.25">
      <c r="A40" s="6"/>
      <c r="C40" s="30" t="s">
        <v>76</v>
      </c>
    </row>
    <row r="41" spans="1:3" x14ac:dyDescent="0.25">
      <c r="A41" s="6"/>
      <c r="C41" s="30" t="s">
        <v>76</v>
      </c>
    </row>
    <row r="42" spans="1:3" x14ac:dyDescent="0.25">
      <c r="A42" s="6"/>
      <c r="C42" s="30" t="s">
        <v>76</v>
      </c>
    </row>
    <row r="43" spans="1:3" x14ac:dyDescent="0.25">
      <c r="A43" s="6"/>
      <c r="C43" s="30" t="s">
        <v>76</v>
      </c>
    </row>
    <row r="44" spans="1:3" x14ac:dyDescent="0.25">
      <c r="A44" s="6"/>
      <c r="C44" s="30" t="s">
        <v>76</v>
      </c>
    </row>
    <row r="45" spans="1:3" x14ac:dyDescent="0.25">
      <c r="A45" s="6"/>
      <c r="C45" s="30" t="s">
        <v>76</v>
      </c>
    </row>
    <row r="46" spans="1:3" x14ac:dyDescent="0.25">
      <c r="A46" s="6"/>
      <c r="C46" s="30" t="s">
        <v>76</v>
      </c>
    </row>
    <row r="47" spans="1:3" x14ac:dyDescent="0.25">
      <c r="A47" s="6"/>
      <c r="C47" s="30" t="s">
        <v>76</v>
      </c>
    </row>
    <row r="48" spans="1:3" x14ac:dyDescent="0.25">
      <c r="A48" s="6"/>
      <c r="C48" s="30" t="s">
        <v>76</v>
      </c>
    </row>
    <row r="49" spans="1:3" x14ac:dyDescent="0.25">
      <c r="A49" s="6"/>
      <c r="C49" s="30" t="s">
        <v>76</v>
      </c>
    </row>
    <row r="50" spans="1:3" x14ac:dyDescent="0.25">
      <c r="A50" s="6"/>
      <c r="C50" s="30" t="s">
        <v>76</v>
      </c>
    </row>
    <row r="51" spans="1:3" x14ac:dyDescent="0.25">
      <c r="A51" s="6"/>
      <c r="C51" s="30" t="s">
        <v>76</v>
      </c>
    </row>
    <row r="52" spans="1:3" x14ac:dyDescent="0.25">
      <c r="A52" s="6"/>
      <c r="C52" s="30" t="s">
        <v>76</v>
      </c>
    </row>
    <row r="53" spans="1:3" x14ac:dyDescent="0.25">
      <c r="A53" s="6"/>
      <c r="C53" s="30" t="s">
        <v>76</v>
      </c>
    </row>
    <row r="54" spans="1:3" x14ac:dyDescent="0.25">
      <c r="A54" s="6"/>
      <c r="C54" s="30" t="s">
        <v>76</v>
      </c>
    </row>
    <row r="55" spans="1:3" x14ac:dyDescent="0.25">
      <c r="A55" s="6"/>
      <c r="C55" s="30" t="s">
        <v>76</v>
      </c>
    </row>
    <row r="56" spans="1:3" x14ac:dyDescent="0.25">
      <c r="A56" s="6"/>
      <c r="C56" s="30" t="s">
        <v>76</v>
      </c>
    </row>
    <row r="57" spans="1:3" x14ac:dyDescent="0.25">
      <c r="A57" s="6"/>
      <c r="C57" s="30" t="s">
        <v>76</v>
      </c>
    </row>
    <row r="58" spans="1:3" x14ac:dyDescent="0.25">
      <c r="A58" s="6"/>
      <c r="C58" s="30" t="s">
        <v>76</v>
      </c>
    </row>
    <row r="59" spans="1:3" x14ac:dyDescent="0.25">
      <c r="A59" s="6"/>
      <c r="C59" s="30" t="s">
        <v>76</v>
      </c>
    </row>
    <row r="60" spans="1:3" x14ac:dyDescent="0.25">
      <c r="A60" s="6"/>
      <c r="C60" s="30" t="s">
        <v>76</v>
      </c>
    </row>
    <row r="61" spans="1:3" x14ac:dyDescent="0.25">
      <c r="A61" s="6"/>
      <c r="C61" s="30" t="s">
        <v>76</v>
      </c>
    </row>
    <row r="62" spans="1:3" x14ac:dyDescent="0.25">
      <c r="A62" s="6"/>
      <c r="C62" s="30" t="s">
        <v>76</v>
      </c>
    </row>
    <row r="63" spans="1:3" x14ac:dyDescent="0.25">
      <c r="A63" s="6"/>
      <c r="C63" s="30" t="s">
        <v>76</v>
      </c>
    </row>
    <row r="64" spans="1:3" x14ac:dyDescent="0.25">
      <c r="A64" s="6"/>
      <c r="C64" s="30" t="s">
        <v>76</v>
      </c>
    </row>
    <row r="65" spans="1:3" x14ac:dyDescent="0.25">
      <c r="A65" s="6"/>
      <c r="C65" s="30" t="s">
        <v>76</v>
      </c>
    </row>
    <row r="66" spans="1:3" x14ac:dyDescent="0.25">
      <c r="A66" s="6"/>
      <c r="C66" s="30" t="s">
        <v>76</v>
      </c>
    </row>
    <row r="67" spans="1:3" x14ac:dyDescent="0.25">
      <c r="A67" s="6"/>
      <c r="C67" s="30" t="s">
        <v>76</v>
      </c>
    </row>
    <row r="68" spans="1:3" x14ac:dyDescent="0.25">
      <c r="A68" s="6"/>
      <c r="C68" s="30" t="s">
        <v>76</v>
      </c>
    </row>
    <row r="69" spans="1:3" x14ac:dyDescent="0.25">
      <c r="A69" s="6"/>
      <c r="C69" s="30" t="s">
        <v>76</v>
      </c>
    </row>
    <row r="70" spans="1:3" x14ac:dyDescent="0.25">
      <c r="A70" s="6"/>
      <c r="C70" s="30" t="s">
        <v>76</v>
      </c>
    </row>
    <row r="71" spans="1:3" x14ac:dyDescent="0.25">
      <c r="A71" s="6"/>
      <c r="C71" s="30" t="s">
        <v>76</v>
      </c>
    </row>
    <row r="72" spans="1:3" x14ac:dyDescent="0.25">
      <c r="A72" s="6"/>
      <c r="C72" s="30" t="s">
        <v>76</v>
      </c>
    </row>
    <row r="73" spans="1:3" x14ac:dyDescent="0.25">
      <c r="A73" s="6"/>
      <c r="C73" s="30" t="s">
        <v>76</v>
      </c>
    </row>
    <row r="74" spans="1:3" x14ac:dyDescent="0.25">
      <c r="A74" s="6"/>
      <c r="C74" s="30" t="s">
        <v>76</v>
      </c>
    </row>
    <row r="75" spans="1:3" x14ac:dyDescent="0.25">
      <c r="A75" s="6"/>
      <c r="C75" s="30" t="s">
        <v>76</v>
      </c>
    </row>
    <row r="76" spans="1:3" x14ac:dyDescent="0.25">
      <c r="A76" s="6"/>
      <c r="C76" s="30" t="s">
        <v>76</v>
      </c>
    </row>
    <row r="77" spans="1:3" x14ac:dyDescent="0.25">
      <c r="A77" s="6"/>
      <c r="C77" s="30" t="s">
        <v>76</v>
      </c>
    </row>
    <row r="78" spans="1:3" x14ac:dyDescent="0.25">
      <c r="A78" s="6"/>
      <c r="C78" s="30" t="s">
        <v>76</v>
      </c>
    </row>
    <row r="79" spans="1:3" x14ac:dyDescent="0.25">
      <c r="A79" s="6"/>
      <c r="C79" s="30" t="s">
        <v>76</v>
      </c>
    </row>
    <row r="80" spans="1:3" x14ac:dyDescent="0.25">
      <c r="A80" s="6"/>
      <c r="C80" s="30" t="s">
        <v>76</v>
      </c>
    </row>
    <row r="81" spans="1:3" x14ac:dyDescent="0.25">
      <c r="A81" s="6"/>
      <c r="C81" s="30" t="s">
        <v>76</v>
      </c>
    </row>
    <row r="82" spans="1:3" x14ac:dyDescent="0.25">
      <c r="A82" s="6"/>
      <c r="C82" s="30" t="s">
        <v>76</v>
      </c>
    </row>
    <row r="83" spans="1:3" x14ac:dyDescent="0.25">
      <c r="A83" s="6"/>
      <c r="C83" s="30" t="s">
        <v>76</v>
      </c>
    </row>
    <row r="84" spans="1:3" x14ac:dyDescent="0.25">
      <c r="A84" s="6"/>
      <c r="C84" s="30" t="s">
        <v>76</v>
      </c>
    </row>
    <row r="85" spans="1:3" x14ac:dyDescent="0.25">
      <c r="A85" s="6"/>
      <c r="C85" s="30" t="s">
        <v>76</v>
      </c>
    </row>
    <row r="86" spans="1:3" x14ac:dyDescent="0.25">
      <c r="A86" s="6"/>
      <c r="C86" s="30" t="s">
        <v>76</v>
      </c>
    </row>
    <row r="87" spans="1:3" x14ac:dyDescent="0.25">
      <c r="A87" s="6"/>
      <c r="C87" s="30" t="s">
        <v>76</v>
      </c>
    </row>
    <row r="88" spans="1:3" x14ac:dyDescent="0.25">
      <c r="A88" s="6"/>
      <c r="C88" s="30" t="s">
        <v>76</v>
      </c>
    </row>
    <row r="89" spans="1:3" x14ac:dyDescent="0.25">
      <c r="A89" s="6"/>
      <c r="C89" s="30" t="s">
        <v>76</v>
      </c>
    </row>
    <row r="90" spans="1:3" x14ac:dyDescent="0.25">
      <c r="A90" s="6"/>
      <c r="C90" s="30" t="s">
        <v>76</v>
      </c>
    </row>
    <row r="91" spans="1:3" x14ac:dyDescent="0.25">
      <c r="A91" s="6"/>
      <c r="C91" s="30" t="s">
        <v>76</v>
      </c>
    </row>
    <row r="92" spans="1:3" x14ac:dyDescent="0.25">
      <c r="A92" s="6"/>
      <c r="C92" s="30" t="s">
        <v>76</v>
      </c>
    </row>
    <row r="93" spans="1:3" x14ac:dyDescent="0.25">
      <c r="A93" s="6"/>
      <c r="C93" s="30" t="s">
        <v>76</v>
      </c>
    </row>
    <row r="94" spans="1:3" x14ac:dyDescent="0.25">
      <c r="A94" s="6"/>
      <c r="C94" s="30" t="s">
        <v>76</v>
      </c>
    </row>
    <row r="95" spans="1:3" x14ac:dyDescent="0.25">
      <c r="A95" s="6"/>
      <c r="C95" s="30" t="s">
        <v>76</v>
      </c>
    </row>
    <row r="96" spans="1:3" x14ac:dyDescent="0.25">
      <c r="A96" s="6"/>
      <c r="C96" s="30" t="s">
        <v>76</v>
      </c>
    </row>
    <row r="97" spans="1:3" x14ac:dyDescent="0.25">
      <c r="A97" s="6"/>
      <c r="C97" s="30" t="s">
        <v>76</v>
      </c>
    </row>
    <row r="98" spans="1:3" x14ac:dyDescent="0.25">
      <c r="A98" s="6"/>
      <c r="C98" s="30" t="s">
        <v>76</v>
      </c>
    </row>
    <row r="99" spans="1:3" x14ac:dyDescent="0.25">
      <c r="A99" s="6"/>
      <c r="C99" s="30" t="s">
        <v>76</v>
      </c>
    </row>
    <row r="100" spans="1:3" x14ac:dyDescent="0.25">
      <c r="A100" s="6"/>
      <c r="C100" s="30" t="s">
        <v>76</v>
      </c>
    </row>
    <row r="101" spans="1:3" x14ac:dyDescent="0.25">
      <c r="A101" s="6"/>
      <c r="C101" s="30" t="s">
        <v>76</v>
      </c>
    </row>
    <row r="102" spans="1:3" x14ac:dyDescent="0.25">
      <c r="A102" s="6"/>
      <c r="C102" s="30" t="s">
        <v>76</v>
      </c>
    </row>
    <row r="103" spans="1:3" x14ac:dyDescent="0.25">
      <c r="A103" s="6"/>
      <c r="C103" s="30" t="s">
        <v>76</v>
      </c>
    </row>
    <row r="104" spans="1:3" x14ac:dyDescent="0.25">
      <c r="A104" s="6"/>
      <c r="C104" s="30" t="s">
        <v>76</v>
      </c>
    </row>
    <row r="105" spans="1:3" x14ac:dyDescent="0.25">
      <c r="A105" s="6"/>
      <c r="C105" s="30" t="s">
        <v>76</v>
      </c>
    </row>
    <row r="106" spans="1:3" x14ac:dyDescent="0.25">
      <c r="A106" s="6"/>
      <c r="C106" s="30" t="s">
        <v>76</v>
      </c>
    </row>
    <row r="107" spans="1:3" x14ac:dyDescent="0.25">
      <c r="A107" s="6"/>
      <c r="C107" s="30" t="s">
        <v>76</v>
      </c>
    </row>
    <row r="108" spans="1:3" x14ac:dyDescent="0.25">
      <c r="A108" s="6"/>
      <c r="C108" s="30" t="s">
        <v>76</v>
      </c>
    </row>
    <row r="109" spans="1:3" x14ac:dyDescent="0.25">
      <c r="A109" s="6"/>
      <c r="C109" s="30" t="s">
        <v>76</v>
      </c>
    </row>
    <row r="110" spans="1:3" x14ac:dyDescent="0.25">
      <c r="A110" s="6"/>
      <c r="C110" s="30" t="s">
        <v>76</v>
      </c>
    </row>
    <row r="111" spans="1:3" x14ac:dyDescent="0.25">
      <c r="A111" s="6"/>
      <c r="C111" s="30" t="s">
        <v>76</v>
      </c>
    </row>
    <row r="112" spans="1:3" x14ac:dyDescent="0.25">
      <c r="A112" s="6"/>
      <c r="C112" s="30" t="s">
        <v>76</v>
      </c>
    </row>
    <row r="113" spans="1:3" x14ac:dyDescent="0.25">
      <c r="A113" s="6"/>
      <c r="C113" s="30" t="s">
        <v>76</v>
      </c>
    </row>
    <row r="114" spans="1:3" x14ac:dyDescent="0.25">
      <c r="A114" s="6"/>
      <c r="C114" s="30" t="s">
        <v>76</v>
      </c>
    </row>
    <row r="115" spans="1:3" x14ac:dyDescent="0.25">
      <c r="A115" s="6"/>
      <c r="C115" s="30" t="s">
        <v>76</v>
      </c>
    </row>
    <row r="116" spans="1:3" x14ac:dyDescent="0.25">
      <c r="A116" s="6"/>
      <c r="C116" s="30" t="s">
        <v>76</v>
      </c>
    </row>
    <row r="117" spans="1:3" x14ac:dyDescent="0.25">
      <c r="A117" s="6"/>
      <c r="C117" s="30" t="s">
        <v>76</v>
      </c>
    </row>
    <row r="118" spans="1:3" x14ac:dyDescent="0.25">
      <c r="A118" s="6"/>
      <c r="C118" s="30" t="s">
        <v>76</v>
      </c>
    </row>
    <row r="119" spans="1:3" x14ac:dyDescent="0.25">
      <c r="A119" s="6"/>
      <c r="C119" s="30" t="s">
        <v>76</v>
      </c>
    </row>
    <row r="120" spans="1:3" x14ac:dyDescent="0.25">
      <c r="A120" s="6"/>
      <c r="C120" s="30" t="s">
        <v>76</v>
      </c>
    </row>
    <row r="121" spans="1:3" x14ac:dyDescent="0.25">
      <c r="A121" s="6"/>
      <c r="C121" s="30" t="s">
        <v>76</v>
      </c>
    </row>
    <row r="122" spans="1:3" x14ac:dyDescent="0.25">
      <c r="A122" s="6"/>
      <c r="C122" s="30" t="s">
        <v>76</v>
      </c>
    </row>
    <row r="123" spans="1:3" x14ac:dyDescent="0.25">
      <c r="A123" s="6"/>
      <c r="C123" s="30" t="s">
        <v>76</v>
      </c>
    </row>
    <row r="124" spans="1:3" x14ac:dyDescent="0.25">
      <c r="A124" s="6"/>
      <c r="C124" s="30" t="s">
        <v>76</v>
      </c>
    </row>
    <row r="125" spans="1:3" x14ac:dyDescent="0.25">
      <c r="A125" s="6"/>
      <c r="C125" s="30" t="s">
        <v>76</v>
      </c>
    </row>
    <row r="126" spans="1:3" x14ac:dyDescent="0.25">
      <c r="A126" s="6"/>
      <c r="C126" s="30" t="s">
        <v>76</v>
      </c>
    </row>
    <row r="127" spans="1:3" x14ac:dyDescent="0.25">
      <c r="A127" s="6"/>
      <c r="C127" s="30" t="s">
        <v>76</v>
      </c>
    </row>
    <row r="128" spans="1:3" x14ac:dyDescent="0.25">
      <c r="A128" s="6"/>
      <c r="C128" s="30" t="s">
        <v>76</v>
      </c>
    </row>
    <row r="129" spans="1:3" x14ac:dyDescent="0.25">
      <c r="A129" s="6"/>
      <c r="C129" s="30" t="s">
        <v>76</v>
      </c>
    </row>
    <row r="130" spans="1:3" x14ac:dyDescent="0.25">
      <c r="A130" s="6"/>
      <c r="C130" s="30" t="s">
        <v>76</v>
      </c>
    </row>
    <row r="131" spans="1:3" x14ac:dyDescent="0.25">
      <c r="A131" s="6"/>
      <c r="C131" s="30" t="s">
        <v>76</v>
      </c>
    </row>
    <row r="132" spans="1:3" x14ac:dyDescent="0.25">
      <c r="A132" s="6"/>
      <c r="C132" s="30" t="s">
        <v>76</v>
      </c>
    </row>
    <row r="133" spans="1:3" x14ac:dyDescent="0.25">
      <c r="A133" s="6"/>
      <c r="C133" s="30" t="s">
        <v>76</v>
      </c>
    </row>
    <row r="134" spans="1:3" x14ac:dyDescent="0.25">
      <c r="A134" s="6"/>
      <c r="C134" s="30" t="s">
        <v>76</v>
      </c>
    </row>
    <row r="135" spans="1:3" x14ac:dyDescent="0.25">
      <c r="A135" s="6"/>
      <c r="C135" s="30" t="s">
        <v>76</v>
      </c>
    </row>
    <row r="136" spans="1:3" x14ac:dyDescent="0.25">
      <c r="A136" s="6"/>
      <c r="C136" s="30" t="s">
        <v>76</v>
      </c>
    </row>
    <row r="137" spans="1:3" x14ac:dyDescent="0.25">
      <c r="A137" s="6"/>
      <c r="B137" s="1"/>
      <c r="C137" s="30" t="s">
        <v>76</v>
      </c>
    </row>
    <row r="138" spans="1:3" x14ac:dyDescent="0.25">
      <c r="A138" s="6"/>
      <c r="B138" s="1"/>
      <c r="C138" s="30" t="s">
        <v>76</v>
      </c>
    </row>
    <row r="139" spans="1:3" x14ac:dyDescent="0.25">
      <c r="A139" s="6"/>
      <c r="B139" s="1"/>
      <c r="C139" s="30" t="s">
        <v>76</v>
      </c>
    </row>
    <row r="140" spans="1:3" x14ac:dyDescent="0.25">
      <c r="A140" s="6"/>
      <c r="B140" s="1"/>
      <c r="C140" s="30" t="s">
        <v>76</v>
      </c>
    </row>
    <row r="141" spans="1:3" x14ac:dyDescent="0.25">
      <c r="A141" s="6"/>
      <c r="B141" s="1"/>
      <c r="C141" s="30" t="s">
        <v>76</v>
      </c>
    </row>
    <row r="142" spans="1:3" x14ac:dyDescent="0.25">
      <c r="A142" s="6"/>
      <c r="B142" s="1"/>
      <c r="C142" s="30" t="s">
        <v>76</v>
      </c>
    </row>
    <row r="143" spans="1:3" x14ac:dyDescent="0.25">
      <c r="A143" s="6"/>
      <c r="B143" s="1"/>
      <c r="C143" s="30" t="s">
        <v>76</v>
      </c>
    </row>
    <row r="144" spans="1:3" x14ac:dyDescent="0.25">
      <c r="A144" s="6"/>
      <c r="B144" s="1"/>
      <c r="C144" s="30" t="s">
        <v>76</v>
      </c>
    </row>
    <row r="145" spans="1:3" x14ac:dyDescent="0.25">
      <c r="A145" s="6"/>
      <c r="B145" s="1"/>
      <c r="C145" s="30" t="s">
        <v>76</v>
      </c>
    </row>
    <row r="146" spans="1:3" x14ac:dyDescent="0.25">
      <c r="A146" s="6"/>
      <c r="B146" s="1"/>
      <c r="C146" s="30" t="s">
        <v>76</v>
      </c>
    </row>
    <row r="147" spans="1:3" x14ac:dyDescent="0.25">
      <c r="A147" s="6"/>
      <c r="B147" s="1"/>
      <c r="C147" s="30" t="s">
        <v>76</v>
      </c>
    </row>
    <row r="148" spans="1:3" x14ac:dyDescent="0.25">
      <c r="A148" s="6"/>
      <c r="B148" s="1"/>
      <c r="C148" s="30" t="s">
        <v>76</v>
      </c>
    </row>
    <row r="149" spans="1:3" x14ac:dyDescent="0.25">
      <c r="A149" s="33"/>
      <c r="B149" s="1"/>
      <c r="C149" s="30" t="s">
        <v>76</v>
      </c>
    </row>
    <row r="150" spans="1:3" x14ac:dyDescent="0.25">
      <c r="A150" s="33"/>
      <c r="B150" s="1"/>
      <c r="C150" s="30" t="s">
        <v>76</v>
      </c>
    </row>
    <row r="151" spans="1:3" x14ac:dyDescent="0.25">
      <c r="A151" s="33"/>
      <c r="B151" s="1"/>
      <c r="C151" s="30" t="s">
        <v>76</v>
      </c>
    </row>
    <row r="152" spans="1:3" x14ac:dyDescent="0.25">
      <c r="A152" s="33"/>
      <c r="B152" s="1"/>
      <c r="C152" s="30" t="s">
        <v>76</v>
      </c>
    </row>
    <row r="153" spans="1:3" x14ac:dyDescent="0.25">
      <c r="A153" s="33"/>
      <c r="B153" s="1"/>
      <c r="C153" s="30" t="s">
        <v>76</v>
      </c>
    </row>
    <row r="154" spans="1:3" x14ac:dyDescent="0.25">
      <c r="A154" s="33"/>
      <c r="B154" s="1"/>
      <c r="C154" s="30" t="s">
        <v>76</v>
      </c>
    </row>
    <row r="155" spans="1:3" x14ac:dyDescent="0.25">
      <c r="A155" s="33"/>
      <c r="B155" s="1"/>
      <c r="C155" s="30" t="s">
        <v>76</v>
      </c>
    </row>
    <row r="156" spans="1:3" x14ac:dyDescent="0.25">
      <c r="A156" s="33"/>
      <c r="B156" s="1"/>
      <c r="C156" s="30" t="s">
        <v>76</v>
      </c>
    </row>
    <row r="157" spans="1:3" x14ac:dyDescent="0.25">
      <c r="A157" s="33"/>
      <c r="B157" s="1"/>
      <c r="C157" s="30" t="s">
        <v>76</v>
      </c>
    </row>
    <row r="158" spans="1:3" x14ac:dyDescent="0.25">
      <c r="A158" s="33"/>
      <c r="B158" s="1"/>
      <c r="C158" s="30" t="s">
        <v>76</v>
      </c>
    </row>
    <row r="159" spans="1:3" x14ac:dyDescent="0.25">
      <c r="A159" s="33"/>
      <c r="B159" s="1"/>
      <c r="C159" s="30" t="s">
        <v>76</v>
      </c>
    </row>
    <row r="160" spans="1:3" x14ac:dyDescent="0.25">
      <c r="A160" s="33"/>
      <c r="B160" s="1"/>
      <c r="C160" s="30" t="s">
        <v>76</v>
      </c>
    </row>
    <row r="161" spans="1:3" x14ac:dyDescent="0.25">
      <c r="A161" s="33"/>
      <c r="B161" s="1"/>
      <c r="C161" s="30" t="s">
        <v>76</v>
      </c>
    </row>
    <row r="162" spans="1:3" x14ac:dyDescent="0.25">
      <c r="A162" s="33"/>
      <c r="B162" s="1"/>
      <c r="C162" s="30" t="s">
        <v>76</v>
      </c>
    </row>
    <row r="163" spans="1:3" x14ac:dyDescent="0.25">
      <c r="A163" s="33"/>
      <c r="B163" s="1"/>
      <c r="C163" s="30" t="s">
        <v>76</v>
      </c>
    </row>
    <row r="164" spans="1:3" x14ac:dyDescent="0.25">
      <c r="A164" s="33"/>
      <c r="B164" s="1"/>
      <c r="C164" s="30" t="s">
        <v>76</v>
      </c>
    </row>
    <row r="165" spans="1:3" x14ac:dyDescent="0.25">
      <c r="A165" s="33"/>
      <c r="B165" s="1"/>
      <c r="C165" s="30" t="s">
        <v>76</v>
      </c>
    </row>
    <row r="166" spans="1:3" x14ac:dyDescent="0.25">
      <c r="A166" s="33"/>
      <c r="B166" s="1"/>
      <c r="C166" s="30" t="s">
        <v>76</v>
      </c>
    </row>
    <row r="167" spans="1:3" x14ac:dyDescent="0.25">
      <c r="A167" s="33"/>
      <c r="B167" s="1"/>
      <c r="C167" s="30" t="s">
        <v>76</v>
      </c>
    </row>
    <row r="168" spans="1:3" x14ac:dyDescent="0.25">
      <c r="A168" s="33"/>
      <c r="B168" s="1"/>
      <c r="C168" s="30" t="s">
        <v>76</v>
      </c>
    </row>
    <row r="169" spans="1:3" x14ac:dyDescent="0.25">
      <c r="A169" s="33"/>
      <c r="B169" s="1"/>
      <c r="C169" s="30" t="s">
        <v>76</v>
      </c>
    </row>
    <row r="170" spans="1:3" x14ac:dyDescent="0.25">
      <c r="A170" s="33"/>
      <c r="B170" s="1"/>
      <c r="C170" s="30" t="s">
        <v>76</v>
      </c>
    </row>
    <row r="171" spans="1:3" x14ac:dyDescent="0.25">
      <c r="A171" s="33"/>
      <c r="B171" s="1"/>
      <c r="C171" s="30" t="s">
        <v>76</v>
      </c>
    </row>
    <row r="172" spans="1:3" x14ac:dyDescent="0.25">
      <c r="A172" s="33"/>
      <c r="B172" s="1"/>
      <c r="C172" s="30" t="s">
        <v>76</v>
      </c>
    </row>
    <row r="173" spans="1:3" x14ac:dyDescent="0.25">
      <c r="A173" s="33"/>
      <c r="B173" s="1"/>
      <c r="C173" s="30" t="s">
        <v>76</v>
      </c>
    </row>
    <row r="174" spans="1:3" x14ac:dyDescent="0.25">
      <c r="A174" s="33"/>
      <c r="B174" s="1"/>
      <c r="C174" s="30" t="s">
        <v>76</v>
      </c>
    </row>
    <row r="175" spans="1:3" x14ac:dyDescent="0.25">
      <c r="A175" s="33"/>
      <c r="B175" s="1"/>
      <c r="C175" s="30" t="s">
        <v>76</v>
      </c>
    </row>
    <row r="176" spans="1:3" x14ac:dyDescent="0.25">
      <c r="A176" s="33"/>
      <c r="B176" s="1"/>
      <c r="C176" s="30" t="s">
        <v>76</v>
      </c>
    </row>
    <row r="177" spans="1:3" x14ac:dyDescent="0.25">
      <c r="A177" s="33"/>
      <c r="B177" s="1"/>
      <c r="C177" s="30" t="s">
        <v>76</v>
      </c>
    </row>
    <row r="178" spans="1:3" x14ac:dyDescent="0.25">
      <c r="A178" s="33"/>
      <c r="B178" s="1"/>
      <c r="C178" s="30" t="s">
        <v>76</v>
      </c>
    </row>
    <row r="179" spans="1:3" x14ac:dyDescent="0.25">
      <c r="A179" s="33"/>
      <c r="B179" s="1"/>
      <c r="C179" s="30" t="s">
        <v>76</v>
      </c>
    </row>
    <row r="180" spans="1:3" x14ac:dyDescent="0.25">
      <c r="A180" s="33"/>
      <c r="B180" s="1"/>
      <c r="C180" s="30" t="s">
        <v>76</v>
      </c>
    </row>
    <row r="181" spans="1:3" x14ac:dyDescent="0.25">
      <c r="A181" s="33"/>
      <c r="B181" s="1"/>
      <c r="C181" s="30" t="s">
        <v>76</v>
      </c>
    </row>
    <row r="182" spans="1:3" x14ac:dyDescent="0.25">
      <c r="A182" s="33"/>
      <c r="B182" s="1"/>
      <c r="C182" s="30" t="s">
        <v>76</v>
      </c>
    </row>
    <row r="183" spans="1:3" x14ac:dyDescent="0.25">
      <c r="A183" s="33"/>
      <c r="B183" s="1"/>
      <c r="C183" s="30" t="s">
        <v>76</v>
      </c>
    </row>
    <row r="184" spans="1:3" x14ac:dyDescent="0.25">
      <c r="A184" s="33"/>
      <c r="B184" s="1"/>
      <c r="C184" s="30" t="s">
        <v>76</v>
      </c>
    </row>
    <row r="185" spans="1:3" x14ac:dyDescent="0.25">
      <c r="A185" s="33"/>
      <c r="B185" s="1"/>
      <c r="C185" s="30" t="s">
        <v>76</v>
      </c>
    </row>
    <row r="186" spans="1:3" x14ac:dyDescent="0.25">
      <c r="A186" s="33"/>
      <c r="B186" s="1"/>
      <c r="C186" s="30" t="s">
        <v>76</v>
      </c>
    </row>
    <row r="187" spans="1:3" x14ac:dyDescent="0.25">
      <c r="A187" s="33"/>
      <c r="B187" s="1"/>
      <c r="C187" s="30" t="s">
        <v>76</v>
      </c>
    </row>
    <row r="188" spans="1:3" x14ac:dyDescent="0.25">
      <c r="A188" s="33"/>
      <c r="B188" s="1"/>
      <c r="C188" s="30" t="s">
        <v>76</v>
      </c>
    </row>
    <row r="189" spans="1:3" x14ac:dyDescent="0.25">
      <c r="A189" s="33"/>
      <c r="B189" s="1"/>
      <c r="C189" s="30" t="s">
        <v>76</v>
      </c>
    </row>
    <row r="190" spans="1:3" x14ac:dyDescent="0.25">
      <c r="A190" s="33"/>
      <c r="B190" s="1"/>
      <c r="C190" s="30" t="s">
        <v>76</v>
      </c>
    </row>
    <row r="191" spans="1:3" x14ac:dyDescent="0.25">
      <c r="A191" s="33"/>
      <c r="B191" s="1"/>
      <c r="C191" s="30" t="s">
        <v>76</v>
      </c>
    </row>
    <row r="192" spans="1:3" x14ac:dyDescent="0.25">
      <c r="A192" s="33"/>
      <c r="B192" s="1"/>
      <c r="C192" s="30" t="s">
        <v>76</v>
      </c>
    </row>
    <row r="193" spans="1:3" x14ac:dyDescent="0.25">
      <c r="A193" s="33"/>
      <c r="B193" s="1"/>
      <c r="C193" s="30" t="s">
        <v>76</v>
      </c>
    </row>
    <row r="194" spans="1:3" x14ac:dyDescent="0.25">
      <c r="A194" s="33"/>
      <c r="B194" s="1"/>
      <c r="C194" s="30" t="s">
        <v>76</v>
      </c>
    </row>
    <row r="195" spans="1:3" x14ac:dyDescent="0.25">
      <c r="A195" s="33"/>
      <c r="B195" s="1"/>
      <c r="C195" s="30" t="s">
        <v>76</v>
      </c>
    </row>
    <row r="196" spans="1:3" x14ac:dyDescent="0.25">
      <c r="A196" s="33"/>
      <c r="B196" s="1"/>
      <c r="C196" s="30" t="s">
        <v>76</v>
      </c>
    </row>
    <row r="197" spans="1:3" x14ac:dyDescent="0.25">
      <c r="A197" s="33"/>
      <c r="B197" s="1"/>
      <c r="C197" s="30" t="s">
        <v>76</v>
      </c>
    </row>
    <row r="198" spans="1:3" x14ac:dyDescent="0.25">
      <c r="A198" s="33"/>
      <c r="B198" s="1"/>
      <c r="C198" s="30" t="s">
        <v>76</v>
      </c>
    </row>
    <row r="199" spans="1:3" x14ac:dyDescent="0.25">
      <c r="A199" s="33"/>
      <c r="B199" s="1"/>
      <c r="C199" s="30" t="s">
        <v>76</v>
      </c>
    </row>
    <row r="200" spans="1:3" x14ac:dyDescent="0.25">
      <c r="A200" s="33"/>
      <c r="B200" s="1"/>
      <c r="C200" s="30" t="s">
        <v>76</v>
      </c>
    </row>
    <row r="201" spans="1:3" x14ac:dyDescent="0.25">
      <c r="A201" s="33"/>
      <c r="B201" s="1"/>
      <c r="C201" s="30" t="s">
        <v>76</v>
      </c>
    </row>
    <row r="202" spans="1:3" x14ac:dyDescent="0.25">
      <c r="A202" s="33"/>
      <c r="B202" s="1"/>
      <c r="C202" s="30" t="s">
        <v>76</v>
      </c>
    </row>
    <row r="203" spans="1:3" x14ac:dyDescent="0.25">
      <c r="A203" s="33"/>
      <c r="B203" s="1"/>
      <c r="C203" s="30" t="s">
        <v>76</v>
      </c>
    </row>
    <row r="204" spans="1:3" x14ac:dyDescent="0.25">
      <c r="A204" s="6"/>
      <c r="C204" s="30" t="s">
        <v>76</v>
      </c>
    </row>
    <row r="205" spans="1:3" x14ac:dyDescent="0.25">
      <c r="A205" s="6"/>
      <c r="C205" s="30" t="s">
        <v>76</v>
      </c>
    </row>
  </sheetData>
  <sheetProtection password="CA35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'Workbook data'!$C$1:$C$2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3"/>
  <sheetViews>
    <sheetView workbookViewId="0">
      <selection activeCell="E17" sqref="E17"/>
    </sheetView>
  </sheetViews>
  <sheetFormatPr defaultRowHeight="15" x14ac:dyDescent="0.25"/>
  <cols>
    <col min="1" max="1" width="21.5703125" style="1" customWidth="1"/>
    <col min="2" max="2" width="17.85546875" style="1" customWidth="1"/>
    <col min="3" max="5" width="8.85546875" style="1"/>
    <col min="6" max="7" width="22.42578125" style="1" customWidth="1"/>
    <col min="8" max="8" width="26.7109375" style="1" customWidth="1"/>
    <col min="9" max="22" width="8.85546875" style="1"/>
  </cols>
  <sheetData>
    <row r="1" spans="1:7" customFormat="1" x14ac:dyDescent="0.25">
      <c r="A1" s="1" t="s">
        <v>91</v>
      </c>
      <c r="B1" s="1" t="s">
        <v>92</v>
      </c>
      <c r="C1" s="1" t="s">
        <v>79</v>
      </c>
      <c r="D1" s="1">
        <v>1</v>
      </c>
      <c r="E1" s="1">
        <v>2008</v>
      </c>
      <c r="F1" s="1" t="s">
        <v>93</v>
      </c>
      <c r="G1" s="1" t="s">
        <v>94</v>
      </c>
    </row>
    <row r="2" spans="1:7" customFormat="1" x14ac:dyDescent="0.25">
      <c r="A2" s="1" t="s">
        <v>95</v>
      </c>
      <c r="B2" s="1" t="s">
        <v>96</v>
      </c>
      <c r="C2" s="1" t="s">
        <v>97</v>
      </c>
      <c r="D2" s="1">
        <v>2</v>
      </c>
      <c r="E2" s="1">
        <v>2009</v>
      </c>
      <c r="F2" s="1" t="s">
        <v>98</v>
      </c>
      <c r="G2" s="1" t="s">
        <v>99</v>
      </c>
    </row>
    <row r="3" spans="1:7" customFormat="1" x14ac:dyDescent="0.25">
      <c r="A3" s="1" t="s">
        <v>100</v>
      </c>
      <c r="B3" s="1" t="s">
        <v>101</v>
      </c>
      <c r="C3" s="1"/>
      <c r="D3" s="1">
        <v>3</v>
      </c>
      <c r="E3" s="1">
        <v>2010</v>
      </c>
      <c r="F3" s="1" t="s">
        <v>102</v>
      </c>
      <c r="G3" s="1" t="s">
        <v>103</v>
      </c>
    </row>
    <row r="4" spans="1:7" customFormat="1" x14ac:dyDescent="0.25">
      <c r="A4" s="1" t="s">
        <v>104</v>
      </c>
      <c r="B4" s="1" t="s">
        <v>105</v>
      </c>
      <c r="C4" s="1"/>
      <c r="D4" s="1">
        <v>4</v>
      </c>
      <c r="E4" s="1">
        <v>2011</v>
      </c>
      <c r="F4" s="1"/>
      <c r="G4" s="1" t="s">
        <v>106</v>
      </c>
    </row>
    <row r="5" spans="1:7" customFormat="1" x14ac:dyDescent="0.25">
      <c r="A5" s="1" t="s">
        <v>107</v>
      </c>
      <c r="B5" s="1"/>
      <c r="C5" s="1"/>
      <c r="D5" s="1">
        <v>5</v>
      </c>
      <c r="E5" s="1">
        <v>2012</v>
      </c>
      <c r="F5" s="1"/>
      <c r="G5" s="1" t="s">
        <v>108</v>
      </c>
    </row>
    <row r="6" spans="1:7" customFormat="1" x14ac:dyDescent="0.25">
      <c r="A6" s="1"/>
      <c r="B6" s="1"/>
      <c r="C6" s="1"/>
      <c r="D6" s="1">
        <v>6</v>
      </c>
      <c r="E6" s="1">
        <v>2013</v>
      </c>
      <c r="F6" s="1"/>
      <c r="G6" s="1" t="s">
        <v>109</v>
      </c>
    </row>
    <row r="7" spans="1:7" customFormat="1" x14ac:dyDescent="0.25">
      <c r="A7" s="1"/>
      <c r="B7" s="1"/>
      <c r="C7" s="1"/>
      <c r="D7" s="1">
        <v>7</v>
      </c>
      <c r="E7" s="1">
        <v>2014</v>
      </c>
      <c r="F7" s="1"/>
      <c r="G7" s="1" t="s">
        <v>110</v>
      </c>
    </row>
    <row r="8" spans="1:7" customFormat="1" x14ac:dyDescent="0.25">
      <c r="A8" s="1"/>
      <c r="B8" s="1"/>
      <c r="C8" s="1"/>
      <c r="D8" s="1">
        <v>8</v>
      </c>
      <c r="E8" s="1">
        <v>2015</v>
      </c>
      <c r="F8" s="1"/>
      <c r="G8" s="1" t="s">
        <v>111</v>
      </c>
    </row>
    <row r="9" spans="1:7" customFormat="1" x14ac:dyDescent="0.25">
      <c r="A9" s="1"/>
      <c r="B9" s="1"/>
      <c r="C9" s="1"/>
      <c r="D9" s="1">
        <v>9</v>
      </c>
      <c r="E9" s="1">
        <v>2016</v>
      </c>
      <c r="F9" s="1"/>
      <c r="G9" s="1"/>
    </row>
    <row r="10" spans="1:7" customFormat="1" x14ac:dyDescent="0.25">
      <c r="A10" s="1"/>
      <c r="B10" s="1"/>
      <c r="C10" s="1"/>
      <c r="D10" s="1">
        <v>10</v>
      </c>
      <c r="E10" s="1">
        <v>2017</v>
      </c>
      <c r="F10" s="1"/>
      <c r="G10" s="1"/>
    </row>
    <row r="11" spans="1:7" customFormat="1" x14ac:dyDescent="0.25">
      <c r="A11" s="1"/>
      <c r="B11" s="1"/>
      <c r="C11" s="1"/>
      <c r="D11" s="1">
        <v>11</v>
      </c>
      <c r="E11" s="1">
        <v>2018</v>
      </c>
      <c r="F11" s="1"/>
      <c r="G11" s="1"/>
    </row>
    <row r="12" spans="1:7" customFormat="1" x14ac:dyDescent="0.25">
      <c r="A12" s="1"/>
      <c r="B12" s="1"/>
      <c r="C12" s="1"/>
      <c r="D12" s="1">
        <v>12</v>
      </c>
      <c r="E12" s="1">
        <v>2019</v>
      </c>
      <c r="F12" s="1"/>
      <c r="G12" s="1"/>
    </row>
    <row r="13" spans="1:7" customFormat="1" x14ac:dyDescent="0.25">
      <c r="A13" s="1"/>
      <c r="B13" s="1"/>
      <c r="C13" s="1"/>
      <c r="D13" s="1">
        <v>13</v>
      </c>
      <c r="E13" s="1">
        <v>2020</v>
      </c>
      <c r="F13" s="1"/>
      <c r="G13" s="1"/>
    </row>
    <row r="14" spans="1:7" customFormat="1" x14ac:dyDescent="0.25">
      <c r="A14" s="1"/>
      <c r="B14" s="1"/>
      <c r="C14" s="1"/>
      <c r="D14" s="1"/>
      <c r="E14" s="1">
        <v>2021</v>
      </c>
      <c r="F14" s="1"/>
      <c r="G14" s="1"/>
    </row>
    <row r="15" spans="1:7" customFormat="1" x14ac:dyDescent="0.25">
      <c r="A15" s="1"/>
      <c r="B15" s="1"/>
      <c r="C15" s="1"/>
      <c r="D15" s="1"/>
      <c r="E15" s="1">
        <v>2022</v>
      </c>
      <c r="F15" s="1"/>
      <c r="G15" s="1"/>
    </row>
    <row r="16" spans="1:7" customFormat="1" x14ac:dyDescent="0.25">
      <c r="A16" s="1"/>
      <c r="B16" s="1"/>
      <c r="C16" s="1"/>
      <c r="D16" s="1"/>
      <c r="E16" s="1">
        <v>2023</v>
      </c>
      <c r="F16" s="1"/>
      <c r="G16" s="1"/>
    </row>
    <row r="17" spans="5:5" customFormat="1" x14ac:dyDescent="0.25">
      <c r="E17" s="1">
        <v>2024</v>
      </c>
    </row>
    <row r="18" spans="5:5" customFormat="1" x14ac:dyDescent="0.25">
      <c r="E18" s="1">
        <v>2025</v>
      </c>
    </row>
    <row r="19" spans="5:5" customFormat="1" x14ac:dyDescent="0.25">
      <c r="E19" s="1">
        <v>2026</v>
      </c>
    </row>
    <row r="20" spans="5:5" customFormat="1" x14ac:dyDescent="0.25">
      <c r="E20" s="1">
        <v>2027</v>
      </c>
    </row>
    <row r="21" spans="5:5" customFormat="1" x14ac:dyDescent="0.25">
      <c r="E21" s="1">
        <v>2028</v>
      </c>
    </row>
    <row r="22" spans="5:5" customFormat="1" x14ac:dyDescent="0.25">
      <c r="E22" s="1">
        <v>2029</v>
      </c>
    </row>
    <row r="23" spans="5:5" customFormat="1" x14ac:dyDescent="0.25">
      <c r="E23" s="1">
        <v>2030</v>
      </c>
    </row>
    <row r="24" spans="5:5" customFormat="1" x14ac:dyDescent="0.25">
      <c r="E24" s="1">
        <v>2031</v>
      </c>
    </row>
    <row r="25" spans="5:5" customFormat="1" x14ac:dyDescent="0.25">
      <c r="E25" s="1">
        <v>2032</v>
      </c>
    </row>
    <row r="26" spans="5:5" customFormat="1" x14ac:dyDescent="0.25">
      <c r="E26" s="1">
        <v>2033</v>
      </c>
    </row>
    <row r="27" spans="5:5" customFormat="1" x14ac:dyDescent="0.25">
      <c r="E27" s="1">
        <v>2034</v>
      </c>
    </row>
    <row r="28" spans="5:5" customFormat="1" x14ac:dyDescent="0.25">
      <c r="E28" s="1">
        <v>2035</v>
      </c>
    </row>
    <row r="29" spans="5:5" customFormat="1" x14ac:dyDescent="0.25">
      <c r="E29" s="1">
        <v>2036</v>
      </c>
    </row>
    <row r="30" spans="5:5" customFormat="1" x14ac:dyDescent="0.25">
      <c r="E30" s="1">
        <v>2037</v>
      </c>
    </row>
    <row r="31" spans="5:5" customFormat="1" x14ac:dyDescent="0.25">
      <c r="E31" s="1">
        <v>2038</v>
      </c>
    </row>
    <row r="32" spans="5:5" customFormat="1" x14ac:dyDescent="0.25">
      <c r="E32" s="1">
        <v>2039</v>
      </c>
    </row>
    <row r="33" spans="5:5" customFormat="1" x14ac:dyDescent="0.25">
      <c r="E33" s="1">
        <v>2040</v>
      </c>
    </row>
  </sheetData>
  <sheetProtection password="CA35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L28" sqref="L2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51DEAB66511499DA003356CF88131" ma:contentTypeVersion="18" ma:contentTypeDescription="Create a new document." ma:contentTypeScope="" ma:versionID="baf9a974d8d70bc758d81b9beba2e6bc">
  <xsd:schema xmlns:xsd="http://www.w3.org/2001/XMLSchema" xmlns:xs="http://www.w3.org/2001/XMLSchema" xmlns:p="http://schemas.microsoft.com/office/2006/metadata/properties" xmlns:ns2="0163b7c3-6fd4-4e9e-a0e0-ce73f2749c4b" xmlns:ns3="d1e10837-682d-47d3-817a-d9a92e4874a6" targetNamespace="http://schemas.microsoft.com/office/2006/metadata/properties" ma:root="true" ma:fieldsID="6c54253d9c86ff29cf06b2aec767ffca" ns2:_="" ns3:_="">
    <xsd:import namespace="0163b7c3-6fd4-4e9e-a0e0-ce73f2749c4b"/>
    <xsd:import namespace="d1e10837-682d-47d3-817a-d9a92e487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3b7c3-6fd4-4e9e-a0e0-ce73f2749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511e78a-9f2b-4cc0-ba0b-e8c63aa410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0837-682d-47d3-817a-d9a92e487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2dfbad-ddf8-4f22-9a11-54801f72919f}" ma:internalName="TaxCatchAll" ma:showField="CatchAllData" ma:web="d1e10837-682d-47d3-817a-d9a92e487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3D617-124A-4FD0-9998-4DDF2D951E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3CA33-4589-43A5-A188-FF04847AA8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3b7c3-6fd4-4e9e-a0e0-ce73f2749c4b"/>
    <ds:schemaRef ds:uri="d1e10837-682d-47d3-817a-d9a92e487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 Base</vt:lpstr>
      <vt:lpstr>Pre-tagging form</vt:lpstr>
      <vt:lpstr>Post tagging form</vt:lpstr>
      <vt:lpstr>Post event data management</vt:lpstr>
      <vt:lpstr>Workbook data</vt:lpstr>
      <vt:lpstr>Non-Natives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FishLab</dc:creator>
  <cp:lastModifiedBy>Brian R Kesner</cp:lastModifiedBy>
  <cp:lastPrinted>2013-09-16T21:22:56Z</cp:lastPrinted>
  <dcterms:created xsi:type="dcterms:W3CDTF">2013-07-10T19:45:16Z</dcterms:created>
  <dcterms:modified xsi:type="dcterms:W3CDTF">2026-05-27T15:07:06Z</dcterms:modified>
</cp:coreProperties>
</file>