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N:\D8000\MSCP\TempMSCP\D15-GenMonMgtNatFishPop\DataMgt\Yuma Cove data files-all\"/>
    </mc:Choice>
  </mc:AlternateContent>
  <xr:revisionPtr revIDLastSave="0" documentId="13_ncr:1_{50F0A86D-565D-43A6-AC8F-F537C2BC8F1F}" xr6:coauthVersionLast="47" xr6:coauthVersionMax="47" xr10:uidLastSave="{00000000-0000-0000-0000-000000000000}"/>
  <bookViews>
    <workbookView xWindow="-11505" yWindow="-21720" windowWidth="51840" windowHeight="21120" xr2:uid="{00000000-000D-0000-FFFF-FFFF00000000}"/>
  </bookViews>
  <sheets>
    <sheet name="20251007_YumaCoveBW_EL" sheetId="1" r:id="rId1"/>
  </sheets>
  <definedNames>
    <definedName name="_xlnm._FilterDatabase" localSheetId="0" hidden="1">'20251007_YumaCoveBW_EL'!$A$9:$V$66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5" i="1" l="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11" i="1"/>
  <c r="N12" i="1"/>
  <c r="N13" i="1"/>
  <c r="N14" i="1"/>
  <c r="N10" i="1"/>
</calcChain>
</file>

<file path=xl/sharedStrings.xml><?xml version="1.0" encoding="utf-8"?>
<sst xmlns="http://schemas.openxmlformats.org/spreadsheetml/2006/main" count="1064" uniqueCount="198">
  <si>
    <t>Session: 20251007_YumaCoveBW_EL</t>
  </si>
  <si>
    <t>Location: Lake Mohave</t>
  </si>
  <si>
    <t>Sync. With Cloud: No</t>
  </si>
  <si>
    <t>Water Temp:</t>
  </si>
  <si>
    <t>Date/Time</t>
  </si>
  <si>
    <t>Count</t>
  </si>
  <si>
    <t>Species</t>
  </si>
  <si>
    <t>Code</t>
  </si>
  <si>
    <t>Net_ID</t>
  </si>
  <si>
    <t>Length_-_Manual_(mm)</t>
  </si>
  <si>
    <t>Task</t>
  </si>
  <si>
    <t>Weight_(grams)</t>
  </si>
  <si>
    <t>Sex</t>
  </si>
  <si>
    <t>Tag_ID_(2nd_Tag)</t>
  </si>
  <si>
    <t>Recapture_(Click_for_Yes)</t>
  </si>
  <si>
    <t>K_Factor_(Fulton)</t>
  </si>
  <si>
    <t>New_Tag_(Click_for_Yes)</t>
  </si>
  <si>
    <t>Comments</t>
  </si>
  <si>
    <t>New_Fin_Clip_(Click_for_Yes)</t>
  </si>
  <si>
    <t>Health</t>
  </si>
  <si>
    <t>Length</t>
  </si>
  <si>
    <t>Tag_ID</t>
  </si>
  <si>
    <t>10/7/2025 7:45:54 AM</t>
  </si>
  <si>
    <t>1</t>
  </si>
  <si>
    <t>Razorback Sucker</t>
  </si>
  <si>
    <t/>
  </si>
  <si>
    <t>10</t>
  </si>
  <si>
    <t>Trammel</t>
  </si>
  <si>
    <t>J - Juvenile</t>
  </si>
  <si>
    <t>J</t>
  </si>
  <si>
    <t>No</t>
  </si>
  <si>
    <t>Yes</t>
  </si>
  <si>
    <t>Fin Clip 1</t>
  </si>
  <si>
    <t>Excellent Condition</t>
  </si>
  <si>
    <t>EX</t>
  </si>
  <si>
    <t>3DD.003E21E62A</t>
  </si>
  <si>
    <t>10/7/2025 7:48:28 AM</t>
  </si>
  <si>
    <t>U - Undetermined</t>
  </si>
  <si>
    <t>U</t>
  </si>
  <si>
    <t>Fin Clip 2</t>
  </si>
  <si>
    <t>3DD.003E21E648</t>
  </si>
  <si>
    <t>10/7/2025 7:49:13 AM</t>
  </si>
  <si>
    <t>3DD.003BE65E74</t>
  </si>
  <si>
    <t>10/7/2025 7:49:46 AM</t>
  </si>
  <si>
    <t>F</t>
  </si>
  <si>
    <t>3DD.003BA711AA</t>
  </si>
  <si>
    <t>10/7/2025 7:50:37 AM</t>
  </si>
  <si>
    <t>Fin Clip 3</t>
  </si>
  <si>
    <t>3DD.003E21E61D</t>
  </si>
  <si>
    <t>10/7/2025 7:52:14 AM</t>
  </si>
  <si>
    <t>Fin Clip 4</t>
  </si>
  <si>
    <t>3DD.003E21E633</t>
  </si>
  <si>
    <t>10/7/2025 7:52:56 AM</t>
  </si>
  <si>
    <t>3DD.003BCC03BF</t>
  </si>
  <si>
    <t>10/7/2025 7:53:24 AM</t>
  </si>
  <si>
    <t>3DD.003D7727F9</t>
  </si>
  <si>
    <t>10/7/2025 7:54:02 AM</t>
  </si>
  <si>
    <t>M - Tuberculate</t>
  </si>
  <si>
    <t>M</t>
  </si>
  <si>
    <t>Fin Clip 5</t>
  </si>
  <si>
    <t>3DD.003E21E61E</t>
  </si>
  <si>
    <t>10/7/2025 7:54:50 AM</t>
  </si>
  <si>
    <t>3DD.003D7727FB</t>
  </si>
  <si>
    <t>10/7/2025 7:55:19 AM</t>
  </si>
  <si>
    <t>3DD.003C06F29B</t>
  </si>
  <si>
    <t>10/7/2025 7:55:45 AM</t>
  </si>
  <si>
    <t>3DD.003BE65E61</t>
  </si>
  <si>
    <t>10/7/2025 7:56:16 AM</t>
  </si>
  <si>
    <t>Fin Clip 6</t>
  </si>
  <si>
    <t>3DD.003E21E641</t>
  </si>
  <si>
    <t>10/7/2025 7:57:12 AM</t>
  </si>
  <si>
    <t>3DD.003D7727DB</t>
  </si>
  <si>
    <t>10/7/2025 7:57:49 AM</t>
  </si>
  <si>
    <t>Fin Clip 7</t>
  </si>
  <si>
    <t>3DD.003E21F13A</t>
  </si>
  <si>
    <t>10/7/2025 7:58:33 AM</t>
  </si>
  <si>
    <t>Fin Clip 8</t>
  </si>
  <si>
    <t>3DD.003E21F14A</t>
  </si>
  <si>
    <t>10/7/2025 7:59:15 AM</t>
  </si>
  <si>
    <t>3DD.003D776087</t>
  </si>
  <si>
    <t>10/7/2025 7:59:45 AM</t>
  </si>
  <si>
    <t>3DD.003BCB953A</t>
  </si>
  <si>
    <t>10/7/2025 8:00:23 AM</t>
  </si>
  <si>
    <t>3DD.003E21ED98</t>
  </si>
  <si>
    <t>10/7/2025 8:01:21 AM</t>
  </si>
  <si>
    <t>Fin Clip 9</t>
  </si>
  <si>
    <t>3DD.003E21F141</t>
  </si>
  <si>
    <t>10/7/2025 8:02:10 AM</t>
  </si>
  <si>
    <t>Fin Clip 10</t>
  </si>
  <si>
    <t>3DD.003E21F10A</t>
  </si>
  <si>
    <t>10/7/2025 8:02:59 AM</t>
  </si>
  <si>
    <t>Fin Clip 11</t>
  </si>
  <si>
    <t>3DD.003E21F112</t>
  </si>
  <si>
    <t>10/7/2025 8:03:47 AM</t>
  </si>
  <si>
    <t>3DD.003BE65E3A</t>
  </si>
  <si>
    <t>10/7/2025 8:04:15 AM</t>
  </si>
  <si>
    <t>3DD.003BCB9520</t>
  </si>
  <si>
    <t>10/7/2025 8:04:52 AM</t>
  </si>
  <si>
    <t>Fin Clip 12</t>
  </si>
  <si>
    <t>3DD.003E21F10B</t>
  </si>
  <si>
    <t>10/7/2025 8:05:27 AM</t>
  </si>
  <si>
    <t>Fin Clip 13</t>
  </si>
  <si>
    <t>3DD.003E21F137</t>
  </si>
  <si>
    <t>10/7/2025 8:09:42 AM</t>
  </si>
  <si>
    <t>3DD.003BCC039D</t>
  </si>
  <si>
    <t>10/7/2025 8:11:36 AM</t>
  </si>
  <si>
    <t>3DD.003BE8F1FC</t>
  </si>
  <si>
    <t>10/7/2025 8:12:06 AM</t>
  </si>
  <si>
    <t>Fin Clip 14</t>
  </si>
  <si>
    <t>3DD.003E21F159</t>
  </si>
  <si>
    <t>10/7/2025 8:14:10 AM</t>
  </si>
  <si>
    <t>Fin Clip 15</t>
  </si>
  <si>
    <t>3DD.003E21F156</t>
  </si>
  <si>
    <t>10/7/2025 8:15:07 AM</t>
  </si>
  <si>
    <t>Fin Clip 16</t>
  </si>
  <si>
    <t>3DD.003E21F132</t>
  </si>
  <si>
    <t>10/7/2025 8:16:43 AM</t>
  </si>
  <si>
    <t>Fin Clip 17</t>
  </si>
  <si>
    <t>3DD.003E21F120</t>
  </si>
  <si>
    <t>10/7/2025 8:17:42 AM</t>
  </si>
  <si>
    <t>Fin Clip 18</t>
  </si>
  <si>
    <t>3DD.003E21F144</t>
  </si>
  <si>
    <t>10/7/2025 8:18:24 AM</t>
  </si>
  <si>
    <t>384.1B796EE317</t>
  </si>
  <si>
    <t>10/7/2025 8:18:46 AM</t>
  </si>
  <si>
    <t>3DD.003BCC03DD</t>
  </si>
  <si>
    <t>10/7/2025 8:19:13 AM</t>
  </si>
  <si>
    <t>Left pelvic fin missing</t>
  </si>
  <si>
    <t>3DD.003BCC03C2</t>
  </si>
  <si>
    <t>10/7/2025 8:21:00 AM</t>
  </si>
  <si>
    <t>Fin Clip 19</t>
  </si>
  <si>
    <t>3DD.003E21F11E</t>
  </si>
  <si>
    <t>10/7/2025 8:21:54 AM</t>
  </si>
  <si>
    <t>Fin Clip 20</t>
  </si>
  <si>
    <t>3DD.003E21F158</t>
  </si>
  <si>
    <t>10/7/2025 8:22:36 AM</t>
  </si>
  <si>
    <t>3DD.003BE65E57</t>
  </si>
  <si>
    <t>10/7/2025 8:23:11 AM</t>
  </si>
  <si>
    <t>Fin Clip 21</t>
  </si>
  <si>
    <t>3DD.003E21F13D</t>
  </si>
  <si>
    <t>10/7/2025 8:24:01 AM</t>
  </si>
  <si>
    <t>Fin Clip 22</t>
  </si>
  <si>
    <t>3DD.003E21F14B</t>
  </si>
  <si>
    <t>10/7/2025 8:24:48 AM</t>
  </si>
  <si>
    <t>Fin Clip 23</t>
  </si>
  <si>
    <t>3DD.003E21F105</t>
  </si>
  <si>
    <t>10/7/2025 8:25:34 AM</t>
  </si>
  <si>
    <t>3DD.003BCC03A5</t>
  </si>
  <si>
    <t>10/7/2025 8:25:56 AM</t>
  </si>
  <si>
    <t>3DD.003D772D9D</t>
  </si>
  <si>
    <t>10/7/2025 8:26:23 AM</t>
  </si>
  <si>
    <t>Fin Clip 24</t>
  </si>
  <si>
    <t>3DD.003E21F117</t>
  </si>
  <si>
    <t>10/7/2025 8:27:04 AM</t>
  </si>
  <si>
    <t>3DD.003BE65E45</t>
  </si>
  <si>
    <t>10/7/2025 8:27:39 AM</t>
  </si>
  <si>
    <t>Fin Clip 25</t>
  </si>
  <si>
    <t>3DD.003E21F150</t>
  </si>
  <si>
    <t>10/7/2025 8:28:21 AM</t>
  </si>
  <si>
    <t>Fin Clip 26</t>
  </si>
  <si>
    <t>Fair Condition</t>
  </si>
  <si>
    <t>3DD.003E21F121</t>
  </si>
  <si>
    <t>10/7/2025 8:29:33 AM</t>
  </si>
  <si>
    <t>Fin Clip 27</t>
  </si>
  <si>
    <t>3DD.003E21F111</t>
  </si>
  <si>
    <t>10/7/2025 8:30:18 AM</t>
  </si>
  <si>
    <t>Fin Clip 28</t>
  </si>
  <si>
    <t>3DD.003E21F0FA</t>
  </si>
  <si>
    <t>10/7/2025 8:31:05 AM</t>
  </si>
  <si>
    <t>Fin Clip 29</t>
  </si>
  <si>
    <t>3DD.003E21F133</t>
  </si>
  <si>
    <t>10/7/2025 8:31:56 AM</t>
  </si>
  <si>
    <t>Fin Clip 30</t>
  </si>
  <si>
    <t>3DD.003E21F0FB</t>
  </si>
  <si>
    <t>10/7/2025 8:32:37 AM</t>
  </si>
  <si>
    <t>Fin Clip 31</t>
  </si>
  <si>
    <t>3DD.003E21F109</t>
  </si>
  <si>
    <t>10/7/2025 8:33:15 AM</t>
  </si>
  <si>
    <t>3DD.003D772DD7</t>
  </si>
  <si>
    <t>10/7/2025 8:33:36 AM</t>
  </si>
  <si>
    <t>3DD.003BCC03C8</t>
  </si>
  <si>
    <t>10/7/2025 8:34:02 AM</t>
  </si>
  <si>
    <t>3DD.003BCC039F</t>
  </si>
  <si>
    <t>10/7/2025 8:34:30 AM</t>
  </si>
  <si>
    <t>Fin Clip 32</t>
  </si>
  <si>
    <t>3DD.003E21F139</t>
  </si>
  <si>
    <t>Crew: J. Lantow, K. Labier, E. Loomis</t>
  </si>
  <si>
    <t>Project: D15</t>
  </si>
  <si>
    <t>Administrator: Jeff Lantow, MSCP</t>
  </si>
  <si>
    <t>Total RASU</t>
  </si>
  <si>
    <t>Recaps</t>
  </si>
  <si>
    <t>New tags</t>
  </si>
  <si>
    <t>Avg length</t>
  </si>
  <si>
    <t>318-556</t>
  </si>
  <si>
    <t>TL Range (mm)</t>
  </si>
  <si>
    <t>495-590</t>
  </si>
  <si>
    <t>Comments: Yuma Cove backwater harvest. All fish transferred to lakeside, 600' feet of 1.5" trammels set in the afternoon and pulled after dark. Most of the fish were from the first net run right after dark. All newly tagged fish were fin clipped</t>
  </si>
  <si>
    <t>318-590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</si>
</sst>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horizontal="left"/>
    </xf>
    <xf numFmtId="0" fontId="0" fillId="0" borderId="10"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66"/>
  <sheetViews>
    <sheetView tabSelected="1" workbookViewId="0">
      <selection activeCell="C2" sqref="C2"/>
    </sheetView>
  </sheetViews>
  <sheetFormatPr defaultRowHeight="14.4" x14ac:dyDescent="0.3"/>
  <cols>
    <col min="1" max="1" width="21" customWidth="1"/>
    <col min="2" max="2" width="15" customWidth="1"/>
    <col min="3" max="3" width="18" customWidth="1"/>
    <col min="4" max="5" width="15" customWidth="1"/>
    <col min="6" max="6" width="22" customWidth="1"/>
    <col min="7" max="8" width="15" customWidth="1"/>
    <col min="9" max="9" width="16" customWidth="1"/>
    <col min="10" max="10" width="18" customWidth="1"/>
    <col min="11" max="11" width="15" customWidth="1"/>
    <col min="12" max="12" width="18" customWidth="1"/>
    <col min="13" max="13" width="27" customWidth="1"/>
    <col min="14" max="14" width="35" customWidth="1"/>
    <col min="15" max="16" width="25" customWidth="1"/>
    <col min="17" max="17" width="30" customWidth="1"/>
    <col min="18" max="18" width="21" customWidth="1"/>
    <col min="19" max="20" width="15" customWidth="1"/>
    <col min="21" max="21" width="16" customWidth="1"/>
    <col min="22" max="22" width="15" customWidth="1"/>
  </cols>
  <sheetData>
    <row r="1" spans="1:22" x14ac:dyDescent="0.3">
      <c r="A1" t="s">
        <v>0</v>
      </c>
      <c r="G1" t="s">
        <v>5</v>
      </c>
      <c r="H1" t="s">
        <v>192</v>
      </c>
      <c r="I1" t="s">
        <v>194</v>
      </c>
    </row>
    <row r="2" spans="1:22" x14ac:dyDescent="0.3">
      <c r="A2" t="s">
        <v>187</v>
      </c>
      <c r="F2" t="s">
        <v>190</v>
      </c>
      <c r="G2">
        <v>25</v>
      </c>
      <c r="H2">
        <v>548</v>
      </c>
      <c r="I2" t="s">
        <v>195</v>
      </c>
    </row>
    <row r="3" spans="1:22" x14ac:dyDescent="0.3">
      <c r="A3" t="s">
        <v>188</v>
      </c>
      <c r="F3" s="2" t="s">
        <v>191</v>
      </c>
      <c r="G3" s="2">
        <v>32</v>
      </c>
      <c r="H3" s="2">
        <v>458</v>
      </c>
      <c r="I3" s="2" t="s">
        <v>193</v>
      </c>
    </row>
    <row r="4" spans="1:22" x14ac:dyDescent="0.3">
      <c r="A4" t="s">
        <v>1</v>
      </c>
      <c r="F4" t="s">
        <v>189</v>
      </c>
      <c r="G4">
        <v>57</v>
      </c>
      <c r="H4">
        <v>498</v>
      </c>
      <c r="I4" t="s">
        <v>197</v>
      </c>
    </row>
    <row r="5" spans="1:22" x14ac:dyDescent="0.3">
      <c r="A5" t="s">
        <v>2</v>
      </c>
    </row>
    <row r="6" spans="1:22" x14ac:dyDescent="0.3">
      <c r="A6" t="s">
        <v>196</v>
      </c>
    </row>
    <row r="7" spans="1:22" x14ac:dyDescent="0.3">
      <c r="A7" t="s">
        <v>186</v>
      </c>
    </row>
    <row r="8" spans="1:22" x14ac:dyDescent="0.3">
      <c r="A8" t="s">
        <v>3</v>
      </c>
    </row>
    <row r="9" spans="1:22" x14ac:dyDescent="0.3">
      <c r="A9" t="s">
        <v>4</v>
      </c>
      <c r="B9" t="s">
        <v>5</v>
      </c>
      <c r="C9" t="s">
        <v>6</v>
      </c>
      <c r="D9" t="s">
        <v>7</v>
      </c>
      <c r="E9" t="s">
        <v>8</v>
      </c>
      <c r="F9" t="s">
        <v>9</v>
      </c>
      <c r="G9" t="s">
        <v>10</v>
      </c>
      <c r="H9" t="s">
        <v>7</v>
      </c>
      <c r="I9" t="s">
        <v>11</v>
      </c>
      <c r="J9" t="s">
        <v>12</v>
      </c>
      <c r="K9" t="s">
        <v>7</v>
      </c>
      <c r="L9" t="s">
        <v>13</v>
      </c>
      <c r="M9" t="s">
        <v>14</v>
      </c>
      <c r="N9" t="s">
        <v>15</v>
      </c>
      <c r="O9" t="s">
        <v>16</v>
      </c>
      <c r="P9" t="s">
        <v>17</v>
      </c>
      <c r="Q9" t="s">
        <v>18</v>
      </c>
      <c r="R9" t="s">
        <v>19</v>
      </c>
      <c r="S9" t="s">
        <v>7</v>
      </c>
      <c r="T9" t="s">
        <v>20</v>
      </c>
      <c r="U9" t="s">
        <v>21</v>
      </c>
      <c r="V9" t="s">
        <v>20</v>
      </c>
    </row>
    <row r="10" spans="1:22" x14ac:dyDescent="0.3">
      <c r="A10" t="s">
        <v>22</v>
      </c>
      <c r="B10" t="s">
        <v>23</v>
      </c>
      <c r="C10" t="s">
        <v>24</v>
      </c>
      <c r="D10" t="s">
        <v>25</v>
      </c>
      <c r="E10" t="s">
        <v>26</v>
      </c>
      <c r="F10">
        <v>379</v>
      </c>
      <c r="G10" t="s">
        <v>27</v>
      </c>
      <c r="H10" t="s">
        <v>25</v>
      </c>
      <c r="I10">
        <v>465</v>
      </c>
      <c r="J10" t="s">
        <v>28</v>
      </c>
      <c r="K10" t="s">
        <v>29</v>
      </c>
      <c r="L10" t="s">
        <v>25</v>
      </c>
      <c r="M10" t="s">
        <v>30</v>
      </c>
      <c r="N10" s="1">
        <f>(I10/F10^3)*100000</f>
        <v>0.85415231637199296</v>
      </c>
      <c r="O10" t="s">
        <v>31</v>
      </c>
      <c r="P10" t="s">
        <v>32</v>
      </c>
      <c r="Q10" t="s">
        <v>31</v>
      </c>
      <c r="R10" t="s">
        <v>33</v>
      </c>
      <c r="S10" t="s">
        <v>34</v>
      </c>
      <c r="T10" t="s">
        <v>25</v>
      </c>
      <c r="U10" t="s">
        <v>35</v>
      </c>
      <c r="V10">
        <v>379</v>
      </c>
    </row>
    <row r="11" spans="1:22" x14ac:dyDescent="0.3">
      <c r="A11" t="s">
        <v>36</v>
      </c>
      <c r="B11" t="s">
        <v>23</v>
      </c>
      <c r="C11" t="s">
        <v>24</v>
      </c>
      <c r="D11" t="s">
        <v>25</v>
      </c>
      <c r="E11" t="s">
        <v>26</v>
      </c>
      <c r="F11">
        <v>461</v>
      </c>
      <c r="G11" t="s">
        <v>27</v>
      </c>
      <c r="H11" t="s">
        <v>25</v>
      </c>
      <c r="I11">
        <v>950</v>
      </c>
      <c r="J11" t="s">
        <v>37</v>
      </c>
      <c r="K11" t="s">
        <v>38</v>
      </c>
      <c r="L11" t="s">
        <v>25</v>
      </c>
      <c r="M11" t="s">
        <v>30</v>
      </c>
      <c r="N11" s="1">
        <f t="shared" ref="N11:N66" si="0">(I11/F11^3)*100000</f>
        <v>0.96966301076833228</v>
      </c>
      <c r="O11" t="s">
        <v>31</v>
      </c>
      <c r="P11" t="s">
        <v>39</v>
      </c>
      <c r="Q11" t="s">
        <v>31</v>
      </c>
      <c r="R11" t="s">
        <v>33</v>
      </c>
      <c r="S11" t="s">
        <v>34</v>
      </c>
      <c r="T11" t="s">
        <v>25</v>
      </c>
      <c r="U11" t="s">
        <v>40</v>
      </c>
      <c r="V11">
        <v>461</v>
      </c>
    </row>
    <row r="12" spans="1:22" x14ac:dyDescent="0.3">
      <c r="A12" t="s">
        <v>41</v>
      </c>
      <c r="B12" t="s">
        <v>23</v>
      </c>
      <c r="C12" t="s">
        <v>24</v>
      </c>
      <c r="D12" t="s">
        <v>25</v>
      </c>
      <c r="E12" t="s">
        <v>26</v>
      </c>
      <c r="F12">
        <v>562</v>
      </c>
      <c r="G12" t="s">
        <v>27</v>
      </c>
      <c r="H12" t="s">
        <v>25</v>
      </c>
      <c r="I12">
        <v>1680</v>
      </c>
      <c r="J12" t="s">
        <v>44</v>
      </c>
      <c r="K12" t="s">
        <v>44</v>
      </c>
      <c r="L12" t="s">
        <v>25</v>
      </c>
      <c r="M12" t="s">
        <v>31</v>
      </c>
      <c r="N12" s="1">
        <f t="shared" si="0"/>
        <v>0.94645579571445726</v>
      </c>
      <c r="O12" t="s">
        <v>30</v>
      </c>
      <c r="P12" t="s">
        <v>25</v>
      </c>
      <c r="Q12" t="s">
        <v>30</v>
      </c>
      <c r="R12" t="s">
        <v>33</v>
      </c>
      <c r="S12" t="s">
        <v>34</v>
      </c>
      <c r="T12" t="s">
        <v>25</v>
      </c>
      <c r="U12" t="s">
        <v>42</v>
      </c>
      <c r="V12">
        <v>562</v>
      </c>
    </row>
    <row r="13" spans="1:22" x14ac:dyDescent="0.3">
      <c r="A13" t="s">
        <v>43</v>
      </c>
      <c r="B13" t="s">
        <v>23</v>
      </c>
      <c r="C13" t="s">
        <v>24</v>
      </c>
      <c r="D13" t="s">
        <v>25</v>
      </c>
      <c r="E13" t="s">
        <v>26</v>
      </c>
      <c r="F13">
        <v>588</v>
      </c>
      <c r="G13" t="s">
        <v>27</v>
      </c>
      <c r="H13" t="s">
        <v>25</v>
      </c>
      <c r="I13">
        <v>1995</v>
      </c>
      <c r="J13" t="s">
        <v>44</v>
      </c>
      <c r="K13" t="s">
        <v>44</v>
      </c>
      <c r="L13" t="s">
        <v>25</v>
      </c>
      <c r="M13" t="s">
        <v>31</v>
      </c>
      <c r="N13" s="1">
        <f t="shared" si="0"/>
        <v>0.98132061376542845</v>
      </c>
      <c r="O13" t="s">
        <v>30</v>
      </c>
      <c r="P13" t="s">
        <v>25</v>
      </c>
      <c r="Q13" t="s">
        <v>30</v>
      </c>
      <c r="R13" t="s">
        <v>33</v>
      </c>
      <c r="S13" t="s">
        <v>34</v>
      </c>
      <c r="T13" t="s">
        <v>25</v>
      </c>
      <c r="U13" t="s">
        <v>45</v>
      </c>
      <c r="V13">
        <v>588</v>
      </c>
    </row>
    <row r="14" spans="1:22" x14ac:dyDescent="0.3">
      <c r="A14" t="s">
        <v>46</v>
      </c>
      <c r="B14" t="s">
        <v>23</v>
      </c>
      <c r="C14" t="s">
        <v>24</v>
      </c>
      <c r="D14" t="s">
        <v>25</v>
      </c>
      <c r="E14" t="s">
        <v>26</v>
      </c>
      <c r="F14">
        <v>551</v>
      </c>
      <c r="G14" t="s">
        <v>27</v>
      </c>
      <c r="H14" t="s">
        <v>25</v>
      </c>
      <c r="I14">
        <v>1660</v>
      </c>
      <c r="J14" t="s">
        <v>44</v>
      </c>
      <c r="K14" t="s">
        <v>44</v>
      </c>
      <c r="L14" t="s">
        <v>25</v>
      </c>
      <c r="M14" t="s">
        <v>30</v>
      </c>
      <c r="N14" s="1">
        <f t="shared" si="0"/>
        <v>0.99232353458278311</v>
      </c>
      <c r="O14" t="s">
        <v>31</v>
      </c>
      <c r="P14" t="s">
        <v>47</v>
      </c>
      <c r="Q14" t="s">
        <v>31</v>
      </c>
      <c r="R14" t="s">
        <v>33</v>
      </c>
      <c r="S14" t="s">
        <v>34</v>
      </c>
      <c r="U14" t="s">
        <v>48</v>
      </c>
      <c r="V14">
        <v>551</v>
      </c>
    </row>
    <row r="15" spans="1:22" x14ac:dyDescent="0.3">
      <c r="A15" t="s">
        <v>49</v>
      </c>
      <c r="B15" t="s">
        <v>23</v>
      </c>
      <c r="C15" t="s">
        <v>24</v>
      </c>
      <c r="D15" t="s">
        <v>25</v>
      </c>
      <c r="E15" t="s">
        <v>26</v>
      </c>
      <c r="F15">
        <v>544</v>
      </c>
      <c r="G15" t="s">
        <v>27</v>
      </c>
      <c r="H15" t="s">
        <v>25</v>
      </c>
      <c r="I15">
        <v>1565</v>
      </c>
      <c r="J15" t="s">
        <v>44</v>
      </c>
      <c r="K15" t="s">
        <v>44</v>
      </c>
      <c r="L15" t="s">
        <v>25</v>
      </c>
      <c r="M15" t="s">
        <v>30</v>
      </c>
      <c r="N15" s="1">
        <f t="shared" si="0"/>
        <v>0.97211499624720132</v>
      </c>
      <c r="O15" t="s">
        <v>31</v>
      </c>
      <c r="P15" t="s">
        <v>50</v>
      </c>
      <c r="Q15" t="s">
        <v>31</v>
      </c>
      <c r="R15" t="s">
        <v>33</v>
      </c>
      <c r="S15" t="s">
        <v>34</v>
      </c>
      <c r="T15" t="s">
        <v>25</v>
      </c>
      <c r="U15" t="s">
        <v>51</v>
      </c>
      <c r="V15">
        <v>544</v>
      </c>
    </row>
    <row r="16" spans="1:22" x14ac:dyDescent="0.3">
      <c r="A16" t="s">
        <v>52</v>
      </c>
      <c r="B16" t="s">
        <v>23</v>
      </c>
      <c r="C16" t="s">
        <v>24</v>
      </c>
      <c r="D16" t="s">
        <v>25</v>
      </c>
      <c r="E16" t="s">
        <v>26</v>
      </c>
      <c r="F16">
        <v>590</v>
      </c>
      <c r="G16" t="s">
        <v>27</v>
      </c>
      <c r="H16" t="s">
        <v>25</v>
      </c>
      <c r="I16">
        <v>2130</v>
      </c>
      <c r="J16" t="s">
        <v>44</v>
      </c>
      <c r="K16" t="s">
        <v>44</v>
      </c>
      <c r="L16" t="s">
        <v>25</v>
      </c>
      <c r="M16" t="s">
        <v>31</v>
      </c>
      <c r="N16" s="1">
        <f t="shared" si="0"/>
        <v>1.0371070070455111</v>
      </c>
      <c r="O16" t="s">
        <v>30</v>
      </c>
      <c r="P16" t="s">
        <v>25</v>
      </c>
      <c r="Q16" t="s">
        <v>30</v>
      </c>
      <c r="R16" t="s">
        <v>33</v>
      </c>
      <c r="S16" t="s">
        <v>34</v>
      </c>
      <c r="T16" t="s">
        <v>25</v>
      </c>
      <c r="U16" t="s">
        <v>53</v>
      </c>
      <c r="V16">
        <v>590</v>
      </c>
    </row>
    <row r="17" spans="1:22" x14ac:dyDescent="0.3">
      <c r="A17" t="s">
        <v>54</v>
      </c>
      <c r="B17" t="s">
        <v>23</v>
      </c>
      <c r="C17" t="s">
        <v>24</v>
      </c>
      <c r="D17" t="s">
        <v>25</v>
      </c>
      <c r="E17" t="s">
        <v>26</v>
      </c>
      <c r="F17">
        <v>511</v>
      </c>
      <c r="G17" t="s">
        <v>27</v>
      </c>
      <c r="H17" t="s">
        <v>25</v>
      </c>
      <c r="I17">
        <v>1205</v>
      </c>
      <c r="J17" t="s">
        <v>44</v>
      </c>
      <c r="K17" t="s">
        <v>44</v>
      </c>
      <c r="L17" t="s">
        <v>25</v>
      </c>
      <c r="M17" t="s">
        <v>31</v>
      </c>
      <c r="N17" s="1">
        <f t="shared" si="0"/>
        <v>0.90307609526773802</v>
      </c>
      <c r="O17" t="s">
        <v>30</v>
      </c>
      <c r="P17" t="s">
        <v>25</v>
      </c>
      <c r="Q17" t="s">
        <v>30</v>
      </c>
      <c r="R17" t="s">
        <v>33</v>
      </c>
      <c r="S17" t="s">
        <v>34</v>
      </c>
      <c r="T17" t="s">
        <v>25</v>
      </c>
      <c r="U17" t="s">
        <v>55</v>
      </c>
      <c r="V17">
        <v>511</v>
      </c>
    </row>
    <row r="18" spans="1:22" x14ac:dyDescent="0.3">
      <c r="A18" t="s">
        <v>56</v>
      </c>
      <c r="B18" t="s">
        <v>23</v>
      </c>
      <c r="C18" t="s">
        <v>24</v>
      </c>
      <c r="D18" t="s">
        <v>25</v>
      </c>
      <c r="E18" t="s">
        <v>26</v>
      </c>
      <c r="F18">
        <v>462</v>
      </c>
      <c r="G18" t="s">
        <v>27</v>
      </c>
      <c r="H18" t="s">
        <v>25</v>
      </c>
      <c r="I18">
        <v>995</v>
      </c>
      <c r="J18" t="s">
        <v>57</v>
      </c>
      <c r="K18" t="s">
        <v>58</v>
      </c>
      <c r="L18" t="s">
        <v>25</v>
      </c>
      <c r="M18" t="s">
        <v>30</v>
      </c>
      <c r="N18" s="1">
        <f t="shared" si="0"/>
        <v>1.0090139116956456</v>
      </c>
      <c r="O18" t="s">
        <v>31</v>
      </c>
      <c r="P18" t="s">
        <v>59</v>
      </c>
      <c r="Q18" t="s">
        <v>31</v>
      </c>
      <c r="R18" t="s">
        <v>33</v>
      </c>
      <c r="S18" t="s">
        <v>34</v>
      </c>
      <c r="T18" t="s">
        <v>25</v>
      </c>
      <c r="U18" t="s">
        <v>60</v>
      </c>
      <c r="V18">
        <v>462</v>
      </c>
    </row>
    <row r="19" spans="1:22" x14ac:dyDescent="0.3">
      <c r="A19" t="s">
        <v>61</v>
      </c>
      <c r="B19" t="s">
        <v>23</v>
      </c>
      <c r="C19" t="s">
        <v>24</v>
      </c>
      <c r="D19" t="s">
        <v>25</v>
      </c>
      <c r="E19" t="s">
        <v>26</v>
      </c>
      <c r="F19">
        <v>495</v>
      </c>
      <c r="G19" t="s">
        <v>27</v>
      </c>
      <c r="H19" t="s">
        <v>25</v>
      </c>
      <c r="I19">
        <v>1040</v>
      </c>
      <c r="J19" t="s">
        <v>44</v>
      </c>
      <c r="K19" t="s">
        <v>44</v>
      </c>
      <c r="L19" t="s">
        <v>25</v>
      </c>
      <c r="M19" t="s">
        <v>31</v>
      </c>
      <c r="N19" s="1">
        <f t="shared" si="0"/>
        <v>0.85746764657079932</v>
      </c>
      <c r="O19" t="s">
        <v>30</v>
      </c>
      <c r="P19" t="s">
        <v>25</v>
      </c>
      <c r="Q19" t="s">
        <v>30</v>
      </c>
      <c r="R19" t="s">
        <v>33</v>
      </c>
      <c r="S19" t="s">
        <v>34</v>
      </c>
      <c r="T19" t="s">
        <v>25</v>
      </c>
      <c r="U19" t="s">
        <v>62</v>
      </c>
      <c r="V19">
        <v>495</v>
      </c>
    </row>
    <row r="20" spans="1:22" x14ac:dyDescent="0.3">
      <c r="A20" t="s">
        <v>63</v>
      </c>
      <c r="B20" t="s">
        <v>23</v>
      </c>
      <c r="C20" t="s">
        <v>24</v>
      </c>
      <c r="D20" t="s">
        <v>25</v>
      </c>
      <c r="E20" t="s">
        <v>26</v>
      </c>
      <c r="F20">
        <v>556</v>
      </c>
      <c r="G20" t="s">
        <v>27</v>
      </c>
      <c r="H20" t="s">
        <v>25</v>
      </c>
      <c r="I20">
        <v>1915</v>
      </c>
      <c r="J20" t="s">
        <v>44</v>
      </c>
      <c r="K20" t="s">
        <v>44</v>
      </c>
      <c r="L20" t="s">
        <v>25</v>
      </c>
      <c r="M20" t="s">
        <v>31</v>
      </c>
      <c r="N20" s="1">
        <f t="shared" si="0"/>
        <v>1.1141518957082146</v>
      </c>
      <c r="O20" t="s">
        <v>30</v>
      </c>
      <c r="P20" t="s">
        <v>25</v>
      </c>
      <c r="Q20" t="s">
        <v>30</v>
      </c>
      <c r="R20" t="s">
        <v>33</v>
      </c>
      <c r="S20" t="s">
        <v>34</v>
      </c>
      <c r="T20" t="s">
        <v>25</v>
      </c>
      <c r="U20" t="s">
        <v>64</v>
      </c>
      <c r="V20">
        <v>556</v>
      </c>
    </row>
    <row r="21" spans="1:22" x14ac:dyDescent="0.3">
      <c r="A21" t="s">
        <v>65</v>
      </c>
      <c r="B21" t="s">
        <v>23</v>
      </c>
      <c r="C21" t="s">
        <v>24</v>
      </c>
      <c r="D21" t="s">
        <v>25</v>
      </c>
      <c r="E21" t="s">
        <v>26</v>
      </c>
      <c r="F21">
        <v>553</v>
      </c>
      <c r="G21" t="s">
        <v>27</v>
      </c>
      <c r="H21" t="s">
        <v>25</v>
      </c>
      <c r="I21">
        <v>1360</v>
      </c>
      <c r="J21" t="s">
        <v>44</v>
      </c>
      <c r="K21" t="s">
        <v>44</v>
      </c>
      <c r="L21" t="s">
        <v>25</v>
      </c>
      <c r="M21" t="s">
        <v>31</v>
      </c>
      <c r="N21" s="1">
        <f t="shared" si="0"/>
        <v>0.80419897356182279</v>
      </c>
      <c r="O21" t="s">
        <v>30</v>
      </c>
      <c r="P21" t="s">
        <v>25</v>
      </c>
      <c r="Q21" t="s">
        <v>30</v>
      </c>
      <c r="R21" t="s">
        <v>33</v>
      </c>
      <c r="S21" t="s">
        <v>34</v>
      </c>
      <c r="T21" t="s">
        <v>25</v>
      </c>
      <c r="U21" t="s">
        <v>66</v>
      </c>
      <c r="V21">
        <v>553</v>
      </c>
    </row>
    <row r="22" spans="1:22" x14ac:dyDescent="0.3">
      <c r="A22" t="s">
        <v>67</v>
      </c>
      <c r="B22" t="s">
        <v>23</v>
      </c>
      <c r="C22" t="s">
        <v>24</v>
      </c>
      <c r="D22" t="s">
        <v>25</v>
      </c>
      <c r="E22" t="s">
        <v>26</v>
      </c>
      <c r="F22">
        <v>337</v>
      </c>
      <c r="G22" t="s">
        <v>27</v>
      </c>
      <c r="H22" t="s">
        <v>25</v>
      </c>
      <c r="I22">
        <v>375</v>
      </c>
      <c r="J22" t="s">
        <v>28</v>
      </c>
      <c r="K22" t="s">
        <v>29</v>
      </c>
      <c r="L22" t="s">
        <v>25</v>
      </c>
      <c r="M22" t="s">
        <v>30</v>
      </c>
      <c r="N22" s="1">
        <f t="shared" si="0"/>
        <v>0.97980931761036361</v>
      </c>
      <c r="O22" t="s">
        <v>31</v>
      </c>
      <c r="P22" t="s">
        <v>68</v>
      </c>
      <c r="Q22" t="s">
        <v>31</v>
      </c>
      <c r="R22" t="s">
        <v>33</v>
      </c>
      <c r="S22" t="s">
        <v>34</v>
      </c>
      <c r="T22" t="s">
        <v>25</v>
      </c>
      <c r="U22" t="s">
        <v>69</v>
      </c>
      <c r="V22">
        <v>337</v>
      </c>
    </row>
    <row r="23" spans="1:22" x14ac:dyDescent="0.3">
      <c r="A23" t="s">
        <v>70</v>
      </c>
      <c r="B23" t="s">
        <v>23</v>
      </c>
      <c r="C23" t="s">
        <v>24</v>
      </c>
      <c r="D23" t="s">
        <v>25</v>
      </c>
      <c r="E23" t="s">
        <v>26</v>
      </c>
      <c r="F23">
        <v>495</v>
      </c>
      <c r="G23" t="s">
        <v>27</v>
      </c>
      <c r="H23" t="s">
        <v>25</v>
      </c>
      <c r="I23">
        <v>980</v>
      </c>
      <c r="J23" t="s">
        <v>44</v>
      </c>
      <c r="K23" t="s">
        <v>44</v>
      </c>
      <c r="L23" t="s">
        <v>25</v>
      </c>
      <c r="M23" t="s">
        <v>31</v>
      </c>
      <c r="N23" s="1">
        <f t="shared" si="0"/>
        <v>0.80799835926863772</v>
      </c>
      <c r="O23" t="s">
        <v>30</v>
      </c>
      <c r="P23" t="s">
        <v>25</v>
      </c>
      <c r="Q23" t="s">
        <v>30</v>
      </c>
      <c r="R23" t="s">
        <v>33</v>
      </c>
      <c r="S23" t="s">
        <v>34</v>
      </c>
      <c r="T23" t="s">
        <v>25</v>
      </c>
      <c r="U23" t="s">
        <v>71</v>
      </c>
      <c r="V23">
        <v>495</v>
      </c>
    </row>
    <row r="24" spans="1:22" x14ac:dyDescent="0.3">
      <c r="A24" t="s">
        <v>72</v>
      </c>
      <c r="B24" t="s">
        <v>23</v>
      </c>
      <c r="C24" t="s">
        <v>24</v>
      </c>
      <c r="D24" t="s">
        <v>25</v>
      </c>
      <c r="E24" t="s">
        <v>26</v>
      </c>
      <c r="F24">
        <v>489</v>
      </c>
      <c r="G24" t="s">
        <v>27</v>
      </c>
      <c r="H24" t="s">
        <v>25</v>
      </c>
      <c r="I24">
        <v>1440</v>
      </c>
      <c r="J24" t="s">
        <v>37</v>
      </c>
      <c r="K24" t="s">
        <v>38</v>
      </c>
      <c r="L24" t="s">
        <v>25</v>
      </c>
      <c r="M24" t="s">
        <v>30</v>
      </c>
      <c r="N24" s="1">
        <f t="shared" si="0"/>
        <v>1.2315042493438968</v>
      </c>
      <c r="O24" t="s">
        <v>31</v>
      </c>
      <c r="P24" t="s">
        <v>73</v>
      </c>
      <c r="Q24" t="s">
        <v>31</v>
      </c>
      <c r="R24" t="s">
        <v>33</v>
      </c>
      <c r="S24" t="s">
        <v>34</v>
      </c>
      <c r="T24" t="s">
        <v>25</v>
      </c>
      <c r="U24" t="s">
        <v>74</v>
      </c>
      <c r="V24">
        <v>489</v>
      </c>
    </row>
    <row r="25" spans="1:22" x14ac:dyDescent="0.3">
      <c r="A25" t="s">
        <v>75</v>
      </c>
      <c r="B25" t="s">
        <v>23</v>
      </c>
      <c r="C25" t="s">
        <v>24</v>
      </c>
      <c r="D25" t="s">
        <v>25</v>
      </c>
      <c r="E25" t="s">
        <v>26</v>
      </c>
      <c r="F25">
        <v>501</v>
      </c>
      <c r="G25" t="s">
        <v>27</v>
      </c>
      <c r="H25" t="s">
        <v>25</v>
      </c>
      <c r="I25">
        <v>1260</v>
      </c>
      <c r="J25" t="s">
        <v>37</v>
      </c>
      <c r="K25" t="s">
        <v>38</v>
      </c>
      <c r="L25" t="s">
        <v>25</v>
      </c>
      <c r="M25" t="s">
        <v>30</v>
      </c>
      <c r="N25" s="1">
        <f t="shared" si="0"/>
        <v>1.0019761116012444</v>
      </c>
      <c r="O25" t="s">
        <v>31</v>
      </c>
      <c r="P25" t="s">
        <v>76</v>
      </c>
      <c r="Q25" t="s">
        <v>31</v>
      </c>
      <c r="R25" t="s">
        <v>33</v>
      </c>
      <c r="S25" t="s">
        <v>34</v>
      </c>
      <c r="T25" t="s">
        <v>25</v>
      </c>
      <c r="U25" t="s">
        <v>77</v>
      </c>
      <c r="V25">
        <v>501</v>
      </c>
    </row>
    <row r="26" spans="1:22" x14ac:dyDescent="0.3">
      <c r="A26" t="s">
        <v>78</v>
      </c>
      <c r="B26" t="s">
        <v>23</v>
      </c>
      <c r="C26" t="s">
        <v>24</v>
      </c>
      <c r="D26" t="s">
        <v>25</v>
      </c>
      <c r="E26" t="s">
        <v>26</v>
      </c>
      <c r="F26">
        <v>542</v>
      </c>
      <c r="G26" t="s">
        <v>27</v>
      </c>
      <c r="H26" t="s">
        <v>25</v>
      </c>
      <c r="I26">
        <v>1675</v>
      </c>
      <c r="J26" t="s">
        <v>44</v>
      </c>
      <c r="K26" t="s">
        <v>44</v>
      </c>
      <c r="L26" t="s">
        <v>25</v>
      </c>
      <c r="M26" t="s">
        <v>31</v>
      </c>
      <c r="N26" s="1">
        <f t="shared" si="0"/>
        <v>1.0520029357099714</v>
      </c>
      <c r="O26" t="s">
        <v>30</v>
      </c>
      <c r="P26" t="s">
        <v>25</v>
      </c>
      <c r="Q26" t="s">
        <v>30</v>
      </c>
      <c r="R26" t="s">
        <v>33</v>
      </c>
      <c r="S26" t="s">
        <v>34</v>
      </c>
      <c r="T26" t="s">
        <v>25</v>
      </c>
      <c r="U26" t="s">
        <v>79</v>
      </c>
      <c r="V26">
        <v>542</v>
      </c>
    </row>
    <row r="27" spans="1:22" x14ac:dyDescent="0.3">
      <c r="A27" t="s">
        <v>80</v>
      </c>
      <c r="B27" t="s">
        <v>23</v>
      </c>
      <c r="C27" t="s">
        <v>24</v>
      </c>
      <c r="D27" t="s">
        <v>25</v>
      </c>
      <c r="E27" t="s">
        <v>26</v>
      </c>
      <c r="F27">
        <v>562</v>
      </c>
      <c r="G27" t="s">
        <v>27</v>
      </c>
      <c r="H27" t="s">
        <v>25</v>
      </c>
      <c r="I27">
        <v>1645</v>
      </c>
      <c r="J27" t="s">
        <v>44</v>
      </c>
      <c r="K27" t="s">
        <v>44</v>
      </c>
      <c r="L27" t="s">
        <v>25</v>
      </c>
      <c r="M27" t="s">
        <v>31</v>
      </c>
      <c r="N27" s="1">
        <f t="shared" si="0"/>
        <v>0.92673796663707264</v>
      </c>
      <c r="O27" t="s">
        <v>30</v>
      </c>
      <c r="P27" t="s">
        <v>25</v>
      </c>
      <c r="Q27" t="s">
        <v>30</v>
      </c>
      <c r="R27" t="s">
        <v>33</v>
      </c>
      <c r="S27" t="s">
        <v>34</v>
      </c>
      <c r="T27" t="s">
        <v>25</v>
      </c>
      <c r="U27" t="s">
        <v>81</v>
      </c>
      <c r="V27">
        <v>562</v>
      </c>
    </row>
    <row r="28" spans="1:22" x14ac:dyDescent="0.3">
      <c r="A28" t="s">
        <v>82</v>
      </c>
      <c r="B28" t="s">
        <v>23</v>
      </c>
      <c r="C28" t="s">
        <v>24</v>
      </c>
      <c r="D28" t="s">
        <v>25</v>
      </c>
      <c r="E28" t="s">
        <v>26</v>
      </c>
      <c r="F28">
        <v>584</v>
      </c>
      <c r="G28" t="s">
        <v>27</v>
      </c>
      <c r="H28" t="s">
        <v>25</v>
      </c>
      <c r="I28">
        <v>2130</v>
      </c>
      <c r="J28" t="s">
        <v>44</v>
      </c>
      <c r="K28" t="s">
        <v>44</v>
      </c>
      <c r="L28" t="s">
        <v>25</v>
      </c>
      <c r="M28" t="s">
        <v>31</v>
      </c>
      <c r="N28" s="1">
        <f t="shared" si="0"/>
        <v>1.0694021726556937</v>
      </c>
      <c r="O28" t="s">
        <v>30</v>
      </c>
      <c r="P28" t="s">
        <v>25</v>
      </c>
      <c r="Q28" t="s">
        <v>30</v>
      </c>
      <c r="R28" t="s">
        <v>33</v>
      </c>
      <c r="S28" t="s">
        <v>34</v>
      </c>
      <c r="T28" t="s">
        <v>25</v>
      </c>
      <c r="U28" t="s">
        <v>83</v>
      </c>
      <c r="V28">
        <v>584</v>
      </c>
    </row>
    <row r="29" spans="1:22" x14ac:dyDescent="0.3">
      <c r="A29" t="s">
        <v>84</v>
      </c>
      <c r="B29" t="s">
        <v>23</v>
      </c>
      <c r="C29" t="s">
        <v>24</v>
      </c>
      <c r="D29" t="s">
        <v>25</v>
      </c>
      <c r="E29" t="s">
        <v>26</v>
      </c>
      <c r="F29">
        <v>505</v>
      </c>
      <c r="G29" t="s">
        <v>27</v>
      </c>
      <c r="H29" t="s">
        <v>25</v>
      </c>
      <c r="I29">
        <v>1345</v>
      </c>
      <c r="J29" t="s">
        <v>37</v>
      </c>
      <c r="K29" t="s">
        <v>38</v>
      </c>
      <c r="L29" t="s">
        <v>25</v>
      </c>
      <c r="M29" t="s">
        <v>30</v>
      </c>
      <c r="N29" s="1">
        <f t="shared" si="0"/>
        <v>1.0443549991701455</v>
      </c>
      <c r="O29" t="s">
        <v>31</v>
      </c>
      <c r="P29" t="s">
        <v>85</v>
      </c>
      <c r="Q29" t="s">
        <v>31</v>
      </c>
      <c r="R29" t="s">
        <v>33</v>
      </c>
      <c r="S29" t="s">
        <v>34</v>
      </c>
      <c r="T29" t="s">
        <v>25</v>
      </c>
      <c r="U29" t="s">
        <v>86</v>
      </c>
      <c r="V29">
        <v>505</v>
      </c>
    </row>
    <row r="30" spans="1:22" x14ac:dyDescent="0.3">
      <c r="A30" t="s">
        <v>87</v>
      </c>
      <c r="B30" t="s">
        <v>23</v>
      </c>
      <c r="C30" t="s">
        <v>24</v>
      </c>
      <c r="D30" t="s">
        <v>25</v>
      </c>
      <c r="E30" t="s">
        <v>26</v>
      </c>
      <c r="F30">
        <v>321</v>
      </c>
      <c r="G30" t="s">
        <v>27</v>
      </c>
      <c r="H30" t="s">
        <v>25</v>
      </c>
      <c r="I30">
        <v>240</v>
      </c>
      <c r="J30" t="s">
        <v>28</v>
      </c>
      <c r="K30" t="s">
        <v>29</v>
      </c>
      <c r="L30" t="s">
        <v>25</v>
      </c>
      <c r="M30" t="s">
        <v>30</v>
      </c>
      <c r="N30" s="1">
        <f t="shared" si="0"/>
        <v>0.72559811279186848</v>
      </c>
      <c r="O30" t="s">
        <v>31</v>
      </c>
      <c r="P30" t="s">
        <v>88</v>
      </c>
      <c r="Q30" t="s">
        <v>31</v>
      </c>
      <c r="R30" t="s">
        <v>33</v>
      </c>
      <c r="S30" t="s">
        <v>34</v>
      </c>
      <c r="T30" t="s">
        <v>25</v>
      </c>
      <c r="U30" t="s">
        <v>89</v>
      </c>
      <c r="V30">
        <v>321</v>
      </c>
    </row>
    <row r="31" spans="1:22" x14ac:dyDescent="0.3">
      <c r="A31" t="s">
        <v>90</v>
      </c>
      <c r="B31" t="s">
        <v>23</v>
      </c>
      <c r="C31" t="s">
        <v>24</v>
      </c>
      <c r="D31" t="s">
        <v>25</v>
      </c>
      <c r="E31" t="s">
        <v>26</v>
      </c>
      <c r="F31">
        <v>513</v>
      </c>
      <c r="G31" t="s">
        <v>27</v>
      </c>
      <c r="H31" t="s">
        <v>25</v>
      </c>
      <c r="I31">
        <v>1300</v>
      </c>
      <c r="J31" t="s">
        <v>44</v>
      </c>
      <c r="K31" t="s">
        <v>44</v>
      </c>
      <c r="L31" t="s">
        <v>25</v>
      </c>
      <c r="M31" t="s">
        <v>30</v>
      </c>
      <c r="N31" s="1">
        <f t="shared" si="0"/>
        <v>0.96292232764073649</v>
      </c>
      <c r="O31" t="s">
        <v>31</v>
      </c>
      <c r="P31" t="s">
        <v>91</v>
      </c>
      <c r="Q31" t="s">
        <v>31</v>
      </c>
      <c r="R31" t="s">
        <v>33</v>
      </c>
      <c r="S31" t="s">
        <v>34</v>
      </c>
      <c r="T31" t="s">
        <v>25</v>
      </c>
      <c r="U31" t="s">
        <v>92</v>
      </c>
      <c r="V31">
        <v>513</v>
      </c>
    </row>
    <row r="32" spans="1:22" x14ac:dyDescent="0.3">
      <c r="A32" t="s">
        <v>93</v>
      </c>
      <c r="B32" t="s">
        <v>23</v>
      </c>
      <c r="C32" t="s">
        <v>24</v>
      </c>
      <c r="D32" t="s">
        <v>25</v>
      </c>
      <c r="E32" t="s">
        <v>26</v>
      </c>
      <c r="F32">
        <v>522</v>
      </c>
      <c r="G32" t="s">
        <v>27</v>
      </c>
      <c r="H32" t="s">
        <v>25</v>
      </c>
      <c r="I32">
        <v>1530</v>
      </c>
      <c r="J32" t="s">
        <v>44</v>
      </c>
      <c r="K32" t="s">
        <v>44</v>
      </c>
      <c r="L32" t="s">
        <v>25</v>
      </c>
      <c r="M32" t="s">
        <v>31</v>
      </c>
      <c r="N32" s="1">
        <f t="shared" si="0"/>
        <v>1.0756721432299221</v>
      </c>
      <c r="O32" t="s">
        <v>30</v>
      </c>
      <c r="P32" t="s">
        <v>25</v>
      </c>
      <c r="Q32" t="s">
        <v>30</v>
      </c>
      <c r="R32" t="s">
        <v>33</v>
      </c>
      <c r="S32" t="s">
        <v>34</v>
      </c>
      <c r="T32" t="s">
        <v>25</v>
      </c>
      <c r="U32" t="s">
        <v>94</v>
      </c>
      <c r="V32">
        <v>522</v>
      </c>
    </row>
    <row r="33" spans="1:22" x14ac:dyDescent="0.3">
      <c r="A33" t="s">
        <v>95</v>
      </c>
      <c r="B33" t="s">
        <v>23</v>
      </c>
      <c r="C33" t="s">
        <v>24</v>
      </c>
      <c r="D33" t="s">
        <v>25</v>
      </c>
      <c r="E33" t="s">
        <v>26</v>
      </c>
      <c r="F33">
        <v>533</v>
      </c>
      <c r="G33" t="s">
        <v>27</v>
      </c>
      <c r="H33" t="s">
        <v>25</v>
      </c>
      <c r="I33">
        <v>1440</v>
      </c>
      <c r="J33" t="s">
        <v>44</v>
      </c>
      <c r="K33" t="s">
        <v>44</v>
      </c>
      <c r="L33" t="s">
        <v>25</v>
      </c>
      <c r="M33" t="s">
        <v>31</v>
      </c>
      <c r="N33" s="1">
        <f t="shared" si="0"/>
        <v>0.95100076220729834</v>
      </c>
      <c r="O33" t="s">
        <v>30</v>
      </c>
      <c r="P33" t="s">
        <v>25</v>
      </c>
      <c r="Q33" t="s">
        <v>30</v>
      </c>
      <c r="R33" t="s">
        <v>33</v>
      </c>
      <c r="S33" t="s">
        <v>34</v>
      </c>
      <c r="T33" t="s">
        <v>25</v>
      </c>
      <c r="U33" t="s">
        <v>96</v>
      </c>
      <c r="V33">
        <v>533</v>
      </c>
    </row>
    <row r="34" spans="1:22" x14ac:dyDescent="0.3">
      <c r="A34" t="s">
        <v>97</v>
      </c>
      <c r="B34" t="s">
        <v>23</v>
      </c>
      <c r="C34" t="s">
        <v>24</v>
      </c>
      <c r="D34" t="s">
        <v>25</v>
      </c>
      <c r="E34" t="s">
        <v>26</v>
      </c>
      <c r="F34">
        <v>330</v>
      </c>
      <c r="G34" t="s">
        <v>27</v>
      </c>
      <c r="H34" t="s">
        <v>25</v>
      </c>
      <c r="I34">
        <v>330</v>
      </c>
      <c r="J34" t="s">
        <v>28</v>
      </c>
      <c r="K34" t="s">
        <v>29</v>
      </c>
      <c r="L34" t="s">
        <v>25</v>
      </c>
      <c r="M34" t="s">
        <v>30</v>
      </c>
      <c r="N34" s="1">
        <f t="shared" si="0"/>
        <v>0.91827364554637281</v>
      </c>
      <c r="O34" t="s">
        <v>31</v>
      </c>
      <c r="P34" t="s">
        <v>98</v>
      </c>
      <c r="Q34" t="s">
        <v>31</v>
      </c>
      <c r="R34" t="s">
        <v>33</v>
      </c>
      <c r="S34" t="s">
        <v>34</v>
      </c>
      <c r="T34" t="s">
        <v>25</v>
      </c>
      <c r="U34" t="s">
        <v>99</v>
      </c>
      <c r="V34">
        <v>330</v>
      </c>
    </row>
    <row r="35" spans="1:22" x14ac:dyDescent="0.3">
      <c r="A35" t="s">
        <v>100</v>
      </c>
      <c r="B35" t="s">
        <v>23</v>
      </c>
      <c r="C35" t="s">
        <v>24</v>
      </c>
      <c r="D35" t="s">
        <v>25</v>
      </c>
      <c r="E35" t="s">
        <v>26</v>
      </c>
      <c r="F35">
        <v>346</v>
      </c>
      <c r="G35" t="s">
        <v>27</v>
      </c>
      <c r="H35" t="s">
        <v>25</v>
      </c>
      <c r="I35">
        <v>370</v>
      </c>
      <c r="J35" t="s">
        <v>28</v>
      </c>
      <c r="K35" t="s">
        <v>29</v>
      </c>
      <c r="L35" t="s">
        <v>25</v>
      </c>
      <c r="M35" t="s">
        <v>30</v>
      </c>
      <c r="N35" s="1">
        <f t="shared" si="0"/>
        <v>0.89325082850221449</v>
      </c>
      <c r="O35" t="s">
        <v>31</v>
      </c>
      <c r="P35" t="s">
        <v>101</v>
      </c>
      <c r="Q35" t="s">
        <v>31</v>
      </c>
      <c r="R35" t="s">
        <v>33</v>
      </c>
      <c r="S35" t="s">
        <v>34</v>
      </c>
      <c r="T35" t="s">
        <v>25</v>
      </c>
      <c r="U35" t="s">
        <v>102</v>
      </c>
      <c r="V35">
        <v>346</v>
      </c>
    </row>
    <row r="36" spans="1:22" x14ac:dyDescent="0.3">
      <c r="A36" t="s">
        <v>103</v>
      </c>
      <c r="B36" t="s">
        <v>23</v>
      </c>
      <c r="C36" t="s">
        <v>24</v>
      </c>
      <c r="D36" t="s">
        <v>25</v>
      </c>
      <c r="E36" t="s">
        <v>26</v>
      </c>
      <c r="F36">
        <v>551</v>
      </c>
      <c r="G36" t="s">
        <v>27</v>
      </c>
      <c r="H36" t="s">
        <v>25</v>
      </c>
      <c r="I36">
        <v>1765</v>
      </c>
      <c r="J36" t="s">
        <v>44</v>
      </c>
      <c r="K36" t="s">
        <v>44</v>
      </c>
      <c r="L36" t="s">
        <v>25</v>
      </c>
      <c r="M36" t="s">
        <v>31</v>
      </c>
      <c r="N36" s="1">
        <f t="shared" si="0"/>
        <v>1.0550909870714531</v>
      </c>
      <c r="O36" t="s">
        <v>30</v>
      </c>
      <c r="P36" t="s">
        <v>25</v>
      </c>
      <c r="Q36" t="s">
        <v>30</v>
      </c>
      <c r="R36" t="s">
        <v>33</v>
      </c>
      <c r="S36" t="s">
        <v>34</v>
      </c>
      <c r="T36" t="s">
        <v>25</v>
      </c>
      <c r="U36" t="s">
        <v>104</v>
      </c>
      <c r="V36">
        <v>551</v>
      </c>
    </row>
    <row r="37" spans="1:22" x14ac:dyDescent="0.3">
      <c r="A37" t="s">
        <v>105</v>
      </c>
      <c r="B37" t="s">
        <v>23</v>
      </c>
      <c r="C37" t="s">
        <v>24</v>
      </c>
      <c r="D37" t="s">
        <v>25</v>
      </c>
      <c r="E37" t="s">
        <v>26</v>
      </c>
      <c r="F37">
        <v>561</v>
      </c>
      <c r="G37" t="s">
        <v>27</v>
      </c>
      <c r="H37" t="s">
        <v>25</v>
      </c>
      <c r="I37">
        <v>1980</v>
      </c>
      <c r="J37" t="s">
        <v>44</v>
      </c>
      <c r="K37" t="s">
        <v>44</v>
      </c>
      <c r="L37" t="s">
        <v>25</v>
      </c>
      <c r="M37" t="s">
        <v>31</v>
      </c>
      <c r="N37" s="1">
        <f t="shared" si="0"/>
        <v>1.1214414559898711</v>
      </c>
      <c r="O37" t="s">
        <v>30</v>
      </c>
      <c r="P37" t="s">
        <v>25</v>
      </c>
      <c r="Q37" t="s">
        <v>30</v>
      </c>
      <c r="R37" t="s">
        <v>33</v>
      </c>
      <c r="S37" t="s">
        <v>34</v>
      </c>
      <c r="T37" t="s">
        <v>25</v>
      </c>
      <c r="U37" t="s">
        <v>106</v>
      </c>
      <c r="V37">
        <v>561</v>
      </c>
    </row>
    <row r="38" spans="1:22" x14ac:dyDescent="0.3">
      <c r="A38" t="s">
        <v>107</v>
      </c>
      <c r="B38" t="s">
        <v>23</v>
      </c>
      <c r="C38" t="s">
        <v>24</v>
      </c>
      <c r="D38" t="s">
        <v>25</v>
      </c>
      <c r="E38" t="s">
        <v>26</v>
      </c>
      <c r="F38">
        <v>566</v>
      </c>
      <c r="G38" t="s">
        <v>27</v>
      </c>
      <c r="H38" t="s">
        <v>25</v>
      </c>
      <c r="I38">
        <v>1700</v>
      </c>
      <c r="J38" t="s">
        <v>44</v>
      </c>
      <c r="K38" t="s">
        <v>44</v>
      </c>
      <c r="L38" t="s">
        <v>25</v>
      </c>
      <c r="M38" t="s">
        <v>30</v>
      </c>
      <c r="N38" s="1">
        <f t="shared" si="0"/>
        <v>0.93756120344385419</v>
      </c>
      <c r="O38" t="s">
        <v>31</v>
      </c>
      <c r="P38" t="s">
        <v>108</v>
      </c>
      <c r="Q38" t="s">
        <v>31</v>
      </c>
      <c r="R38" t="s">
        <v>33</v>
      </c>
      <c r="S38" t="s">
        <v>34</v>
      </c>
      <c r="T38" t="s">
        <v>25</v>
      </c>
      <c r="U38" t="s">
        <v>109</v>
      </c>
      <c r="V38">
        <v>566</v>
      </c>
    </row>
    <row r="39" spans="1:22" x14ac:dyDescent="0.3">
      <c r="A39" t="s">
        <v>110</v>
      </c>
      <c r="B39" t="s">
        <v>23</v>
      </c>
      <c r="C39" t="s">
        <v>24</v>
      </c>
      <c r="D39" t="s">
        <v>25</v>
      </c>
      <c r="E39" t="s">
        <v>26</v>
      </c>
      <c r="F39">
        <v>525</v>
      </c>
      <c r="G39" t="s">
        <v>27</v>
      </c>
      <c r="H39" t="s">
        <v>25</v>
      </c>
      <c r="I39">
        <v>1235</v>
      </c>
      <c r="J39" t="s">
        <v>44</v>
      </c>
      <c r="K39" t="s">
        <v>44</v>
      </c>
      <c r="L39" t="s">
        <v>25</v>
      </c>
      <c r="M39" t="s">
        <v>30</v>
      </c>
      <c r="N39" s="1">
        <f t="shared" si="0"/>
        <v>0.85347154734909825</v>
      </c>
      <c r="O39" t="s">
        <v>31</v>
      </c>
      <c r="P39" t="s">
        <v>111</v>
      </c>
      <c r="Q39" t="s">
        <v>31</v>
      </c>
      <c r="R39" t="s">
        <v>33</v>
      </c>
      <c r="S39" t="s">
        <v>34</v>
      </c>
      <c r="T39" t="s">
        <v>25</v>
      </c>
      <c r="U39" t="s">
        <v>112</v>
      </c>
      <c r="V39">
        <v>525</v>
      </c>
    </row>
    <row r="40" spans="1:22" x14ac:dyDescent="0.3">
      <c r="A40" t="s">
        <v>113</v>
      </c>
      <c r="B40" t="s">
        <v>23</v>
      </c>
      <c r="C40" t="s">
        <v>24</v>
      </c>
      <c r="D40" t="s">
        <v>25</v>
      </c>
      <c r="E40" t="s">
        <v>26</v>
      </c>
      <c r="F40">
        <v>541</v>
      </c>
      <c r="G40" t="s">
        <v>27</v>
      </c>
      <c r="H40" t="s">
        <v>25</v>
      </c>
      <c r="I40">
        <v>1495</v>
      </c>
      <c r="J40" t="s">
        <v>37</v>
      </c>
      <c r="K40" t="s">
        <v>38</v>
      </c>
      <c r="L40" t="s">
        <v>25</v>
      </c>
      <c r="M40" t="s">
        <v>30</v>
      </c>
      <c r="N40" s="1">
        <f t="shared" si="0"/>
        <v>0.94416826136896537</v>
      </c>
      <c r="O40" t="s">
        <v>31</v>
      </c>
      <c r="P40" t="s">
        <v>114</v>
      </c>
      <c r="Q40" t="s">
        <v>31</v>
      </c>
      <c r="R40" t="s">
        <v>33</v>
      </c>
      <c r="S40" t="s">
        <v>34</v>
      </c>
      <c r="T40" t="s">
        <v>25</v>
      </c>
      <c r="U40" t="s">
        <v>115</v>
      </c>
      <c r="V40">
        <v>541</v>
      </c>
    </row>
    <row r="41" spans="1:22" x14ac:dyDescent="0.3">
      <c r="A41" t="s">
        <v>116</v>
      </c>
      <c r="B41" t="s">
        <v>23</v>
      </c>
      <c r="C41" t="s">
        <v>24</v>
      </c>
      <c r="D41" t="s">
        <v>25</v>
      </c>
      <c r="E41" t="s">
        <v>26</v>
      </c>
      <c r="F41">
        <v>466</v>
      </c>
      <c r="G41" t="s">
        <v>27</v>
      </c>
      <c r="H41" t="s">
        <v>25</v>
      </c>
      <c r="I41">
        <v>1020</v>
      </c>
      <c r="J41" t="s">
        <v>44</v>
      </c>
      <c r="K41" t="s">
        <v>44</v>
      </c>
      <c r="L41" t="s">
        <v>25</v>
      </c>
      <c r="M41" t="s">
        <v>30</v>
      </c>
      <c r="N41" s="1">
        <f t="shared" si="0"/>
        <v>1.0079579664926313</v>
      </c>
      <c r="O41" t="s">
        <v>31</v>
      </c>
      <c r="P41" t="s">
        <v>117</v>
      </c>
      <c r="Q41" t="s">
        <v>31</v>
      </c>
      <c r="R41" t="s">
        <v>33</v>
      </c>
      <c r="S41" t="s">
        <v>34</v>
      </c>
      <c r="T41" t="s">
        <v>25</v>
      </c>
      <c r="U41" t="s">
        <v>118</v>
      </c>
      <c r="V41">
        <v>466</v>
      </c>
    </row>
    <row r="42" spans="1:22" x14ac:dyDescent="0.3">
      <c r="A42" t="s">
        <v>119</v>
      </c>
      <c r="B42" t="s">
        <v>23</v>
      </c>
      <c r="C42" t="s">
        <v>24</v>
      </c>
      <c r="D42" t="s">
        <v>25</v>
      </c>
      <c r="E42" t="s">
        <v>26</v>
      </c>
      <c r="F42">
        <v>521</v>
      </c>
      <c r="G42" t="s">
        <v>27</v>
      </c>
      <c r="H42" t="s">
        <v>25</v>
      </c>
      <c r="I42">
        <v>1440</v>
      </c>
      <c r="J42" t="s">
        <v>44</v>
      </c>
      <c r="K42" t="s">
        <v>44</v>
      </c>
      <c r="L42" t="s">
        <v>25</v>
      </c>
      <c r="M42" t="s">
        <v>30</v>
      </c>
      <c r="N42" s="1">
        <f t="shared" si="0"/>
        <v>1.0182380506352953</v>
      </c>
      <c r="O42" t="s">
        <v>31</v>
      </c>
      <c r="P42" t="s">
        <v>120</v>
      </c>
      <c r="Q42" t="s">
        <v>31</v>
      </c>
      <c r="R42" t="s">
        <v>33</v>
      </c>
      <c r="S42" t="s">
        <v>34</v>
      </c>
      <c r="T42" t="s">
        <v>25</v>
      </c>
      <c r="U42" t="s">
        <v>121</v>
      </c>
      <c r="V42">
        <v>521</v>
      </c>
    </row>
    <row r="43" spans="1:22" x14ac:dyDescent="0.3">
      <c r="A43" t="s">
        <v>122</v>
      </c>
      <c r="B43" t="s">
        <v>23</v>
      </c>
      <c r="C43" t="s">
        <v>24</v>
      </c>
      <c r="D43" t="s">
        <v>25</v>
      </c>
      <c r="E43" t="s">
        <v>26</v>
      </c>
      <c r="F43">
        <v>545</v>
      </c>
      <c r="G43" t="s">
        <v>27</v>
      </c>
      <c r="H43" t="s">
        <v>25</v>
      </c>
      <c r="I43">
        <v>1530</v>
      </c>
      <c r="J43" t="s">
        <v>44</v>
      </c>
      <c r="K43" t="s">
        <v>44</v>
      </c>
      <c r="L43" t="s">
        <v>25</v>
      </c>
      <c r="M43" t="s">
        <v>31</v>
      </c>
      <c r="N43" s="1">
        <f t="shared" si="0"/>
        <v>0.94515257959474275</v>
      </c>
      <c r="O43" t="s">
        <v>30</v>
      </c>
      <c r="P43" t="s">
        <v>25</v>
      </c>
      <c r="Q43" t="s">
        <v>30</v>
      </c>
      <c r="R43" t="s">
        <v>33</v>
      </c>
      <c r="S43" t="s">
        <v>34</v>
      </c>
      <c r="T43" t="s">
        <v>25</v>
      </c>
      <c r="U43" t="s">
        <v>123</v>
      </c>
      <c r="V43">
        <v>545</v>
      </c>
    </row>
    <row r="44" spans="1:22" x14ac:dyDescent="0.3">
      <c r="A44" t="s">
        <v>124</v>
      </c>
      <c r="B44" t="s">
        <v>23</v>
      </c>
      <c r="C44" t="s">
        <v>24</v>
      </c>
      <c r="D44" t="s">
        <v>25</v>
      </c>
      <c r="E44" t="s">
        <v>26</v>
      </c>
      <c r="F44">
        <v>580</v>
      </c>
      <c r="G44" t="s">
        <v>27</v>
      </c>
      <c r="H44" t="s">
        <v>25</v>
      </c>
      <c r="I44">
        <v>2060</v>
      </c>
      <c r="J44" t="s">
        <v>44</v>
      </c>
      <c r="K44" t="s">
        <v>44</v>
      </c>
      <c r="L44" t="s">
        <v>25</v>
      </c>
      <c r="M44" t="s">
        <v>31</v>
      </c>
      <c r="N44" s="1">
        <f t="shared" si="0"/>
        <v>1.0558038459961459</v>
      </c>
      <c r="O44" t="s">
        <v>30</v>
      </c>
      <c r="P44" t="s">
        <v>25</v>
      </c>
      <c r="Q44" t="s">
        <v>30</v>
      </c>
      <c r="R44" t="s">
        <v>33</v>
      </c>
      <c r="S44" t="s">
        <v>34</v>
      </c>
      <c r="T44" t="s">
        <v>25</v>
      </c>
      <c r="U44" t="s">
        <v>125</v>
      </c>
      <c r="V44">
        <v>580</v>
      </c>
    </row>
    <row r="45" spans="1:22" x14ac:dyDescent="0.3">
      <c r="A45" t="s">
        <v>126</v>
      </c>
      <c r="B45" t="s">
        <v>23</v>
      </c>
      <c r="C45" t="s">
        <v>24</v>
      </c>
      <c r="D45" t="s">
        <v>25</v>
      </c>
      <c r="E45" t="s">
        <v>26</v>
      </c>
      <c r="F45">
        <v>550</v>
      </c>
      <c r="G45" t="s">
        <v>27</v>
      </c>
      <c r="H45" t="s">
        <v>25</v>
      </c>
      <c r="I45">
        <v>1640</v>
      </c>
      <c r="J45" t="s">
        <v>58</v>
      </c>
      <c r="K45" t="s">
        <v>58</v>
      </c>
      <c r="L45" t="s">
        <v>25</v>
      </c>
      <c r="M45" t="s">
        <v>31</v>
      </c>
      <c r="N45" s="1">
        <f t="shared" si="0"/>
        <v>0.98572501878287</v>
      </c>
      <c r="O45" t="s">
        <v>30</v>
      </c>
      <c r="P45" t="s">
        <v>127</v>
      </c>
      <c r="Q45" t="s">
        <v>30</v>
      </c>
      <c r="R45" t="s">
        <v>33</v>
      </c>
      <c r="S45" t="s">
        <v>34</v>
      </c>
      <c r="T45" t="s">
        <v>25</v>
      </c>
      <c r="U45" t="s">
        <v>128</v>
      </c>
      <c r="V45">
        <v>550</v>
      </c>
    </row>
    <row r="46" spans="1:22" x14ac:dyDescent="0.3">
      <c r="A46" t="s">
        <v>129</v>
      </c>
      <c r="B46" t="s">
        <v>23</v>
      </c>
      <c r="C46" t="s">
        <v>24</v>
      </c>
      <c r="D46" t="s">
        <v>25</v>
      </c>
      <c r="E46" t="s">
        <v>26</v>
      </c>
      <c r="F46">
        <v>560</v>
      </c>
      <c r="G46" t="s">
        <v>27</v>
      </c>
      <c r="H46" t="s">
        <v>25</v>
      </c>
      <c r="I46">
        <v>1745</v>
      </c>
      <c r="J46" t="s">
        <v>44</v>
      </c>
      <c r="K46" t="s">
        <v>44</v>
      </c>
      <c r="L46" t="s">
        <v>25</v>
      </c>
      <c r="M46" t="s">
        <v>30</v>
      </c>
      <c r="N46" s="1">
        <f t="shared" si="0"/>
        <v>0.99364522594752192</v>
      </c>
      <c r="O46" t="s">
        <v>31</v>
      </c>
      <c r="P46" t="s">
        <v>130</v>
      </c>
      <c r="Q46" t="s">
        <v>31</v>
      </c>
      <c r="R46" t="s">
        <v>33</v>
      </c>
      <c r="S46" t="s">
        <v>34</v>
      </c>
      <c r="T46" t="s">
        <v>25</v>
      </c>
      <c r="U46" t="s">
        <v>131</v>
      </c>
      <c r="V46">
        <v>560</v>
      </c>
    </row>
    <row r="47" spans="1:22" x14ac:dyDescent="0.3">
      <c r="A47" t="s">
        <v>132</v>
      </c>
      <c r="B47" t="s">
        <v>23</v>
      </c>
      <c r="C47" t="s">
        <v>24</v>
      </c>
      <c r="D47" t="s">
        <v>25</v>
      </c>
      <c r="E47" t="s">
        <v>26</v>
      </c>
      <c r="F47">
        <v>563</v>
      </c>
      <c r="G47" t="s">
        <v>27</v>
      </c>
      <c r="H47" t="s">
        <v>25</v>
      </c>
      <c r="I47">
        <v>1725</v>
      </c>
      <c r="J47" t="s">
        <v>44</v>
      </c>
      <c r="K47" t="s">
        <v>44</v>
      </c>
      <c r="L47" t="s">
        <v>25</v>
      </c>
      <c r="M47" t="s">
        <v>30</v>
      </c>
      <c r="N47" s="1">
        <f t="shared" si="0"/>
        <v>0.96663811339093197</v>
      </c>
      <c r="O47" t="s">
        <v>31</v>
      </c>
      <c r="P47" t="s">
        <v>133</v>
      </c>
      <c r="Q47" t="s">
        <v>31</v>
      </c>
      <c r="R47" t="s">
        <v>33</v>
      </c>
      <c r="S47" t="s">
        <v>34</v>
      </c>
      <c r="T47" t="s">
        <v>25</v>
      </c>
      <c r="U47" t="s">
        <v>134</v>
      </c>
      <c r="V47">
        <v>563</v>
      </c>
    </row>
    <row r="48" spans="1:22" x14ac:dyDescent="0.3">
      <c r="A48" t="s">
        <v>135</v>
      </c>
      <c r="B48" t="s">
        <v>23</v>
      </c>
      <c r="C48" t="s">
        <v>24</v>
      </c>
      <c r="D48" t="s">
        <v>25</v>
      </c>
      <c r="E48" t="s">
        <v>26</v>
      </c>
      <c r="F48">
        <v>572</v>
      </c>
      <c r="G48" t="s">
        <v>27</v>
      </c>
      <c r="H48" t="s">
        <v>25</v>
      </c>
      <c r="I48">
        <v>1830</v>
      </c>
      <c r="J48" t="s">
        <v>44</v>
      </c>
      <c r="K48" t="s">
        <v>44</v>
      </c>
      <c r="L48" t="s">
        <v>25</v>
      </c>
      <c r="M48" t="s">
        <v>31</v>
      </c>
      <c r="N48" s="1">
        <f t="shared" si="0"/>
        <v>0.97782920292578468</v>
      </c>
      <c r="O48" t="s">
        <v>30</v>
      </c>
      <c r="P48" t="s">
        <v>25</v>
      </c>
      <c r="Q48" t="s">
        <v>30</v>
      </c>
      <c r="R48" t="s">
        <v>33</v>
      </c>
      <c r="S48" t="s">
        <v>34</v>
      </c>
      <c r="T48" t="s">
        <v>25</v>
      </c>
      <c r="U48" t="s">
        <v>136</v>
      </c>
      <c r="V48">
        <v>572</v>
      </c>
    </row>
    <row r="49" spans="1:22" x14ac:dyDescent="0.3">
      <c r="A49" t="s">
        <v>137</v>
      </c>
      <c r="B49" t="s">
        <v>23</v>
      </c>
      <c r="C49" t="s">
        <v>24</v>
      </c>
      <c r="D49" t="s">
        <v>25</v>
      </c>
      <c r="E49" t="s">
        <v>26</v>
      </c>
      <c r="F49">
        <v>553</v>
      </c>
      <c r="G49" t="s">
        <v>27</v>
      </c>
      <c r="H49" t="s">
        <v>25</v>
      </c>
      <c r="I49">
        <v>1705</v>
      </c>
      <c r="J49" t="s">
        <v>44</v>
      </c>
      <c r="K49" t="s">
        <v>44</v>
      </c>
      <c r="L49" t="s">
        <v>25</v>
      </c>
      <c r="M49" t="s">
        <v>30</v>
      </c>
      <c r="N49" s="1">
        <f t="shared" si="0"/>
        <v>1.0082053308256675</v>
      </c>
      <c r="O49" t="s">
        <v>31</v>
      </c>
      <c r="P49" t="s">
        <v>138</v>
      </c>
      <c r="Q49" t="s">
        <v>31</v>
      </c>
      <c r="R49" t="s">
        <v>33</v>
      </c>
      <c r="S49" t="s">
        <v>34</v>
      </c>
      <c r="T49" t="s">
        <v>25</v>
      </c>
      <c r="U49" t="s">
        <v>139</v>
      </c>
      <c r="V49">
        <v>553</v>
      </c>
    </row>
    <row r="50" spans="1:22" x14ac:dyDescent="0.3">
      <c r="A50" t="s">
        <v>140</v>
      </c>
      <c r="B50" t="s">
        <v>23</v>
      </c>
      <c r="C50" t="s">
        <v>24</v>
      </c>
      <c r="D50" t="s">
        <v>25</v>
      </c>
      <c r="E50" t="s">
        <v>26</v>
      </c>
      <c r="F50">
        <v>521</v>
      </c>
      <c r="G50" t="s">
        <v>27</v>
      </c>
      <c r="H50" t="s">
        <v>25</v>
      </c>
      <c r="I50">
        <v>1550</v>
      </c>
      <c r="J50" t="s">
        <v>44</v>
      </c>
      <c r="K50" t="s">
        <v>44</v>
      </c>
      <c r="L50" t="s">
        <v>25</v>
      </c>
      <c r="M50" t="s">
        <v>30</v>
      </c>
      <c r="N50" s="1">
        <f t="shared" si="0"/>
        <v>1.0960201239477136</v>
      </c>
      <c r="O50" t="s">
        <v>31</v>
      </c>
      <c r="P50" t="s">
        <v>141</v>
      </c>
      <c r="Q50" t="s">
        <v>31</v>
      </c>
      <c r="R50" t="s">
        <v>33</v>
      </c>
      <c r="S50" t="s">
        <v>34</v>
      </c>
      <c r="T50" t="s">
        <v>25</v>
      </c>
      <c r="U50" t="s">
        <v>142</v>
      </c>
      <c r="V50">
        <v>521</v>
      </c>
    </row>
    <row r="51" spans="1:22" x14ac:dyDescent="0.3">
      <c r="A51" t="s">
        <v>143</v>
      </c>
      <c r="B51" t="s">
        <v>23</v>
      </c>
      <c r="C51" t="s">
        <v>24</v>
      </c>
      <c r="D51" t="s">
        <v>25</v>
      </c>
      <c r="E51" t="s">
        <v>26</v>
      </c>
      <c r="F51">
        <v>541</v>
      </c>
      <c r="G51" t="s">
        <v>27</v>
      </c>
      <c r="H51" t="s">
        <v>25</v>
      </c>
      <c r="I51">
        <v>1510</v>
      </c>
      <c r="J51" t="s">
        <v>58</v>
      </c>
      <c r="K51" t="s">
        <v>58</v>
      </c>
      <c r="L51" t="s">
        <v>25</v>
      </c>
      <c r="M51" t="s">
        <v>30</v>
      </c>
      <c r="N51" s="1">
        <f t="shared" si="0"/>
        <v>0.95364152151647996</v>
      </c>
      <c r="O51" t="s">
        <v>31</v>
      </c>
      <c r="P51" t="s">
        <v>144</v>
      </c>
      <c r="Q51" t="s">
        <v>31</v>
      </c>
      <c r="R51" t="s">
        <v>33</v>
      </c>
      <c r="S51" t="s">
        <v>34</v>
      </c>
      <c r="T51" t="s">
        <v>25</v>
      </c>
      <c r="U51" t="s">
        <v>145</v>
      </c>
      <c r="V51">
        <v>541</v>
      </c>
    </row>
    <row r="52" spans="1:22" x14ac:dyDescent="0.3">
      <c r="A52" t="s">
        <v>146</v>
      </c>
      <c r="B52" t="s">
        <v>23</v>
      </c>
      <c r="C52" t="s">
        <v>24</v>
      </c>
      <c r="D52" t="s">
        <v>25</v>
      </c>
      <c r="E52" t="s">
        <v>26</v>
      </c>
      <c r="F52">
        <v>550</v>
      </c>
      <c r="G52" t="s">
        <v>27</v>
      </c>
      <c r="H52" t="s">
        <v>25</v>
      </c>
      <c r="I52">
        <v>1680</v>
      </c>
      <c r="J52" t="s">
        <v>44</v>
      </c>
      <c r="K52" t="s">
        <v>44</v>
      </c>
      <c r="L52" t="s">
        <v>25</v>
      </c>
      <c r="M52" t="s">
        <v>31</v>
      </c>
      <c r="N52" s="1">
        <f t="shared" si="0"/>
        <v>1.0097670924117206</v>
      </c>
      <c r="O52" t="s">
        <v>30</v>
      </c>
      <c r="P52" t="s">
        <v>25</v>
      </c>
      <c r="Q52" t="s">
        <v>30</v>
      </c>
      <c r="R52" t="s">
        <v>33</v>
      </c>
      <c r="S52" t="s">
        <v>34</v>
      </c>
      <c r="T52" t="s">
        <v>25</v>
      </c>
      <c r="U52" t="s">
        <v>147</v>
      </c>
      <c r="V52">
        <v>550</v>
      </c>
    </row>
    <row r="53" spans="1:22" x14ac:dyDescent="0.3">
      <c r="A53" t="s">
        <v>148</v>
      </c>
      <c r="B53" t="s">
        <v>23</v>
      </c>
      <c r="C53" t="s">
        <v>24</v>
      </c>
      <c r="D53" t="s">
        <v>25</v>
      </c>
      <c r="E53" t="s">
        <v>26</v>
      </c>
      <c r="F53">
        <v>538</v>
      </c>
      <c r="G53" t="s">
        <v>27</v>
      </c>
      <c r="H53" t="s">
        <v>25</v>
      </c>
      <c r="I53">
        <v>1475</v>
      </c>
      <c r="J53" t="s">
        <v>58</v>
      </c>
      <c r="K53" t="s">
        <v>58</v>
      </c>
      <c r="L53" t="s">
        <v>25</v>
      </c>
      <c r="M53" t="s">
        <v>31</v>
      </c>
      <c r="N53" s="1">
        <f t="shared" si="0"/>
        <v>0.94720764214574904</v>
      </c>
      <c r="O53" t="s">
        <v>30</v>
      </c>
      <c r="P53" t="s">
        <v>25</v>
      </c>
      <c r="Q53" t="s">
        <v>30</v>
      </c>
      <c r="R53" t="s">
        <v>33</v>
      </c>
      <c r="S53" t="s">
        <v>34</v>
      </c>
      <c r="T53" t="s">
        <v>25</v>
      </c>
      <c r="U53" t="s">
        <v>149</v>
      </c>
      <c r="V53">
        <v>538</v>
      </c>
    </row>
    <row r="54" spans="1:22" x14ac:dyDescent="0.3">
      <c r="A54" t="s">
        <v>150</v>
      </c>
      <c r="B54" t="s">
        <v>23</v>
      </c>
      <c r="C54" t="s">
        <v>24</v>
      </c>
      <c r="D54" t="s">
        <v>25</v>
      </c>
      <c r="E54" t="s">
        <v>26</v>
      </c>
      <c r="F54">
        <v>372</v>
      </c>
      <c r="G54" t="s">
        <v>27</v>
      </c>
      <c r="H54" t="s">
        <v>25</v>
      </c>
      <c r="I54">
        <v>435</v>
      </c>
      <c r="J54" t="s">
        <v>28</v>
      </c>
      <c r="K54" t="s">
        <v>29</v>
      </c>
      <c r="L54" t="s">
        <v>25</v>
      </c>
      <c r="M54" t="s">
        <v>30</v>
      </c>
      <c r="N54" s="1">
        <f t="shared" si="0"/>
        <v>0.84500725424158685</v>
      </c>
      <c r="O54" t="s">
        <v>31</v>
      </c>
      <c r="P54" t="s">
        <v>151</v>
      </c>
      <c r="Q54" t="s">
        <v>31</v>
      </c>
      <c r="R54" t="s">
        <v>33</v>
      </c>
      <c r="S54" t="s">
        <v>34</v>
      </c>
      <c r="T54" t="s">
        <v>25</v>
      </c>
      <c r="U54" t="s">
        <v>152</v>
      </c>
      <c r="V54">
        <v>372</v>
      </c>
    </row>
    <row r="55" spans="1:22" x14ac:dyDescent="0.3">
      <c r="A55" t="s">
        <v>153</v>
      </c>
      <c r="B55" t="s">
        <v>23</v>
      </c>
      <c r="C55" t="s">
        <v>24</v>
      </c>
      <c r="D55" t="s">
        <v>25</v>
      </c>
      <c r="E55" t="s">
        <v>26</v>
      </c>
      <c r="F55">
        <v>516</v>
      </c>
      <c r="G55" t="s">
        <v>27</v>
      </c>
      <c r="H55" t="s">
        <v>25</v>
      </c>
      <c r="I55">
        <v>1425</v>
      </c>
      <c r="J55" t="s">
        <v>58</v>
      </c>
      <c r="K55" t="s">
        <v>58</v>
      </c>
      <c r="L55" t="s">
        <v>25</v>
      </c>
      <c r="M55" t="s">
        <v>31</v>
      </c>
      <c r="N55" s="1">
        <f t="shared" si="0"/>
        <v>1.0372077650744937</v>
      </c>
      <c r="O55" t="s">
        <v>30</v>
      </c>
      <c r="P55" t="s">
        <v>25</v>
      </c>
      <c r="Q55" t="s">
        <v>30</v>
      </c>
      <c r="R55" t="s">
        <v>33</v>
      </c>
      <c r="S55" t="s">
        <v>34</v>
      </c>
      <c r="T55" t="s">
        <v>25</v>
      </c>
      <c r="U55" t="s">
        <v>154</v>
      </c>
      <c r="V55">
        <v>516</v>
      </c>
    </row>
    <row r="56" spans="1:22" x14ac:dyDescent="0.3">
      <c r="A56" t="s">
        <v>155</v>
      </c>
      <c r="B56" t="s">
        <v>23</v>
      </c>
      <c r="C56" t="s">
        <v>24</v>
      </c>
      <c r="D56" t="s">
        <v>25</v>
      </c>
      <c r="E56" t="s">
        <v>26</v>
      </c>
      <c r="F56">
        <v>336</v>
      </c>
      <c r="G56" t="s">
        <v>27</v>
      </c>
      <c r="H56" t="s">
        <v>25</v>
      </c>
      <c r="I56">
        <v>390</v>
      </c>
      <c r="J56" t="s">
        <v>28</v>
      </c>
      <c r="K56" t="s">
        <v>29</v>
      </c>
      <c r="L56" t="s">
        <v>25</v>
      </c>
      <c r="M56" t="s">
        <v>30</v>
      </c>
      <c r="N56" s="1">
        <f t="shared" si="0"/>
        <v>1.0281270246193714</v>
      </c>
      <c r="O56" t="s">
        <v>31</v>
      </c>
      <c r="P56" t="s">
        <v>156</v>
      </c>
      <c r="Q56" t="s">
        <v>31</v>
      </c>
      <c r="R56" t="s">
        <v>33</v>
      </c>
      <c r="S56" t="s">
        <v>34</v>
      </c>
      <c r="T56" t="s">
        <v>25</v>
      </c>
      <c r="U56" t="s">
        <v>157</v>
      </c>
      <c r="V56">
        <v>336</v>
      </c>
    </row>
    <row r="57" spans="1:22" x14ac:dyDescent="0.3">
      <c r="A57" t="s">
        <v>158</v>
      </c>
      <c r="B57" t="s">
        <v>23</v>
      </c>
      <c r="C57" t="s">
        <v>24</v>
      </c>
      <c r="D57" t="s">
        <v>25</v>
      </c>
      <c r="E57" t="s">
        <v>26</v>
      </c>
      <c r="F57">
        <v>494</v>
      </c>
      <c r="G57" t="s">
        <v>27</v>
      </c>
      <c r="H57" t="s">
        <v>25</v>
      </c>
      <c r="I57">
        <v>1235</v>
      </c>
      <c r="J57" t="s">
        <v>44</v>
      </c>
      <c r="K57" t="s">
        <v>44</v>
      </c>
      <c r="L57" t="s">
        <v>25</v>
      </c>
      <c r="M57" t="s">
        <v>30</v>
      </c>
      <c r="N57" s="1">
        <f t="shared" si="0"/>
        <v>1.0244390171941844</v>
      </c>
      <c r="O57" t="s">
        <v>31</v>
      </c>
      <c r="P57" t="s">
        <v>159</v>
      </c>
      <c r="Q57" t="s">
        <v>31</v>
      </c>
      <c r="R57" t="s">
        <v>160</v>
      </c>
      <c r="S57" t="s">
        <v>25</v>
      </c>
      <c r="T57" t="s">
        <v>25</v>
      </c>
      <c r="U57" t="s">
        <v>161</v>
      </c>
      <c r="V57">
        <v>494</v>
      </c>
    </row>
    <row r="58" spans="1:22" x14ac:dyDescent="0.3">
      <c r="A58" t="s">
        <v>162</v>
      </c>
      <c r="B58" t="s">
        <v>23</v>
      </c>
      <c r="C58" t="s">
        <v>24</v>
      </c>
      <c r="D58" t="s">
        <v>25</v>
      </c>
      <c r="E58" t="s">
        <v>26</v>
      </c>
      <c r="F58">
        <v>318</v>
      </c>
      <c r="G58" t="s">
        <v>27</v>
      </c>
      <c r="H58" t="s">
        <v>25</v>
      </c>
      <c r="I58">
        <v>335</v>
      </c>
      <c r="J58" t="s">
        <v>28</v>
      </c>
      <c r="K58" t="s">
        <v>29</v>
      </c>
      <c r="L58" t="s">
        <v>25</v>
      </c>
      <c r="M58" t="s">
        <v>30</v>
      </c>
      <c r="N58" s="1">
        <f t="shared" si="0"/>
        <v>1.0417498511697079</v>
      </c>
      <c r="O58" t="s">
        <v>31</v>
      </c>
      <c r="P58" t="s">
        <v>163</v>
      </c>
      <c r="Q58" t="s">
        <v>31</v>
      </c>
      <c r="R58" t="s">
        <v>33</v>
      </c>
      <c r="S58" t="s">
        <v>34</v>
      </c>
      <c r="T58" t="s">
        <v>25</v>
      </c>
      <c r="U58" t="s">
        <v>164</v>
      </c>
      <c r="V58">
        <v>318</v>
      </c>
    </row>
    <row r="59" spans="1:22" x14ac:dyDescent="0.3">
      <c r="A59" t="s">
        <v>165</v>
      </c>
      <c r="B59" t="s">
        <v>23</v>
      </c>
      <c r="C59" t="s">
        <v>24</v>
      </c>
      <c r="D59" t="s">
        <v>25</v>
      </c>
      <c r="E59" t="s">
        <v>26</v>
      </c>
      <c r="F59">
        <v>491</v>
      </c>
      <c r="G59" t="s">
        <v>27</v>
      </c>
      <c r="H59" t="s">
        <v>25</v>
      </c>
      <c r="I59">
        <v>1110</v>
      </c>
      <c r="J59" t="s">
        <v>37</v>
      </c>
      <c r="K59" t="s">
        <v>38</v>
      </c>
      <c r="L59" t="s">
        <v>25</v>
      </c>
      <c r="M59" t="s">
        <v>30</v>
      </c>
      <c r="N59" s="1">
        <f t="shared" si="0"/>
        <v>0.93773149454268567</v>
      </c>
      <c r="O59" t="s">
        <v>31</v>
      </c>
      <c r="P59" t="s">
        <v>166</v>
      </c>
      <c r="Q59" t="s">
        <v>31</v>
      </c>
      <c r="R59" t="s">
        <v>33</v>
      </c>
      <c r="S59" t="s">
        <v>34</v>
      </c>
      <c r="T59" t="s">
        <v>25</v>
      </c>
      <c r="U59" t="s">
        <v>167</v>
      </c>
      <c r="V59">
        <v>491</v>
      </c>
    </row>
    <row r="60" spans="1:22" x14ac:dyDescent="0.3">
      <c r="A60" t="s">
        <v>168</v>
      </c>
      <c r="B60" t="s">
        <v>23</v>
      </c>
      <c r="C60" t="s">
        <v>24</v>
      </c>
      <c r="D60" t="s">
        <v>25</v>
      </c>
      <c r="E60" t="s">
        <v>26</v>
      </c>
      <c r="F60">
        <v>369</v>
      </c>
      <c r="G60" t="s">
        <v>27</v>
      </c>
      <c r="H60" t="s">
        <v>25</v>
      </c>
      <c r="I60">
        <v>405</v>
      </c>
      <c r="J60" t="s">
        <v>28</v>
      </c>
      <c r="K60" t="s">
        <v>29</v>
      </c>
      <c r="L60" t="s">
        <v>25</v>
      </c>
      <c r="M60" t="s">
        <v>30</v>
      </c>
      <c r="N60" s="1">
        <f t="shared" si="0"/>
        <v>0.80607587753450416</v>
      </c>
      <c r="O60" t="s">
        <v>31</v>
      </c>
      <c r="P60" t="s">
        <v>169</v>
      </c>
      <c r="Q60" t="s">
        <v>31</v>
      </c>
      <c r="R60" t="s">
        <v>33</v>
      </c>
      <c r="S60" t="s">
        <v>34</v>
      </c>
      <c r="T60" t="s">
        <v>25</v>
      </c>
      <c r="U60" t="s">
        <v>170</v>
      </c>
      <c r="V60">
        <v>369</v>
      </c>
    </row>
    <row r="61" spans="1:22" x14ac:dyDescent="0.3">
      <c r="A61" t="s">
        <v>171</v>
      </c>
      <c r="B61" t="s">
        <v>23</v>
      </c>
      <c r="C61" t="s">
        <v>24</v>
      </c>
      <c r="D61" t="s">
        <v>25</v>
      </c>
      <c r="E61" t="s">
        <v>26</v>
      </c>
      <c r="F61">
        <v>475</v>
      </c>
      <c r="G61" t="s">
        <v>27</v>
      </c>
      <c r="H61" t="s">
        <v>25</v>
      </c>
      <c r="I61">
        <v>1235</v>
      </c>
      <c r="J61" t="s">
        <v>57</v>
      </c>
      <c r="K61" t="s">
        <v>58</v>
      </c>
      <c r="L61" t="s">
        <v>25</v>
      </c>
      <c r="M61" t="s">
        <v>30</v>
      </c>
      <c r="N61" s="1">
        <f t="shared" si="0"/>
        <v>1.152354570637119</v>
      </c>
      <c r="O61" t="s">
        <v>31</v>
      </c>
      <c r="P61" t="s">
        <v>172</v>
      </c>
      <c r="Q61" t="s">
        <v>31</v>
      </c>
      <c r="R61" t="s">
        <v>33</v>
      </c>
      <c r="S61" t="s">
        <v>34</v>
      </c>
      <c r="T61" t="s">
        <v>25</v>
      </c>
      <c r="U61" t="s">
        <v>173</v>
      </c>
      <c r="V61">
        <v>475</v>
      </c>
    </row>
    <row r="62" spans="1:22" x14ac:dyDescent="0.3">
      <c r="A62" t="s">
        <v>174</v>
      </c>
      <c r="B62" t="s">
        <v>23</v>
      </c>
      <c r="C62" t="s">
        <v>24</v>
      </c>
      <c r="D62" t="s">
        <v>25</v>
      </c>
      <c r="E62" t="s">
        <v>26</v>
      </c>
      <c r="F62">
        <v>334</v>
      </c>
      <c r="G62" t="s">
        <v>27</v>
      </c>
      <c r="H62" t="s">
        <v>25</v>
      </c>
      <c r="I62">
        <v>380</v>
      </c>
      <c r="J62" t="s">
        <v>28</v>
      </c>
      <c r="K62" t="s">
        <v>29</v>
      </c>
      <c r="L62" t="s">
        <v>25</v>
      </c>
      <c r="M62" t="s">
        <v>30</v>
      </c>
      <c r="N62" s="1">
        <f t="shared" si="0"/>
        <v>1.0198685421655524</v>
      </c>
      <c r="O62" t="s">
        <v>31</v>
      </c>
      <c r="P62" t="s">
        <v>175</v>
      </c>
      <c r="Q62" t="s">
        <v>31</v>
      </c>
      <c r="R62" t="s">
        <v>33</v>
      </c>
      <c r="S62" t="s">
        <v>34</v>
      </c>
      <c r="T62" t="s">
        <v>25</v>
      </c>
      <c r="U62" t="s">
        <v>176</v>
      </c>
      <c r="V62">
        <v>334</v>
      </c>
    </row>
    <row r="63" spans="1:22" x14ac:dyDescent="0.3">
      <c r="A63" t="s">
        <v>177</v>
      </c>
      <c r="B63" t="s">
        <v>23</v>
      </c>
      <c r="C63" t="s">
        <v>24</v>
      </c>
      <c r="D63" t="s">
        <v>25</v>
      </c>
      <c r="E63" t="s">
        <v>26</v>
      </c>
      <c r="F63">
        <v>543</v>
      </c>
      <c r="G63" t="s">
        <v>27</v>
      </c>
      <c r="H63" t="s">
        <v>25</v>
      </c>
      <c r="I63">
        <v>1610</v>
      </c>
      <c r="J63" t="s">
        <v>44</v>
      </c>
      <c r="K63" t="s">
        <v>44</v>
      </c>
      <c r="L63" t="s">
        <v>25</v>
      </c>
      <c r="M63" t="s">
        <v>31</v>
      </c>
      <c r="N63" s="1">
        <f t="shared" si="0"/>
        <v>1.0056025993315667</v>
      </c>
      <c r="O63" t="s">
        <v>30</v>
      </c>
      <c r="P63" t="s">
        <v>25</v>
      </c>
      <c r="Q63" t="s">
        <v>30</v>
      </c>
      <c r="R63" t="s">
        <v>33</v>
      </c>
      <c r="S63" t="s">
        <v>34</v>
      </c>
      <c r="T63" t="s">
        <v>25</v>
      </c>
      <c r="U63" t="s">
        <v>178</v>
      </c>
      <c r="V63">
        <v>543</v>
      </c>
    </row>
    <row r="64" spans="1:22" x14ac:dyDescent="0.3">
      <c r="A64" t="s">
        <v>179</v>
      </c>
      <c r="B64" t="s">
        <v>23</v>
      </c>
      <c r="C64" t="s">
        <v>24</v>
      </c>
      <c r="D64" t="s">
        <v>25</v>
      </c>
      <c r="E64" t="s">
        <v>26</v>
      </c>
      <c r="F64">
        <v>563</v>
      </c>
      <c r="G64" t="s">
        <v>27</v>
      </c>
      <c r="H64" t="s">
        <v>25</v>
      </c>
      <c r="I64">
        <v>1875</v>
      </c>
      <c r="J64" t="s">
        <v>44</v>
      </c>
      <c r="K64" t="s">
        <v>44</v>
      </c>
      <c r="L64" t="s">
        <v>25</v>
      </c>
      <c r="M64" t="s">
        <v>31</v>
      </c>
      <c r="N64" s="1">
        <f t="shared" si="0"/>
        <v>1.0506936015118826</v>
      </c>
      <c r="O64" t="s">
        <v>30</v>
      </c>
      <c r="P64" t="s">
        <v>25</v>
      </c>
      <c r="Q64" t="s">
        <v>30</v>
      </c>
      <c r="R64" t="s">
        <v>33</v>
      </c>
      <c r="S64" t="s">
        <v>34</v>
      </c>
      <c r="T64" t="s">
        <v>25</v>
      </c>
      <c r="U64" t="s">
        <v>180</v>
      </c>
      <c r="V64">
        <v>563</v>
      </c>
    </row>
    <row r="65" spans="1:22" x14ac:dyDescent="0.3">
      <c r="A65" t="s">
        <v>181</v>
      </c>
      <c r="B65" t="s">
        <v>23</v>
      </c>
      <c r="C65" t="s">
        <v>24</v>
      </c>
      <c r="D65" t="s">
        <v>25</v>
      </c>
      <c r="E65" t="s">
        <v>26</v>
      </c>
      <c r="F65">
        <v>550</v>
      </c>
      <c r="G65" t="s">
        <v>27</v>
      </c>
      <c r="H65" t="s">
        <v>25</v>
      </c>
      <c r="I65">
        <v>1800</v>
      </c>
      <c r="J65" t="s">
        <v>44</v>
      </c>
      <c r="K65" t="s">
        <v>44</v>
      </c>
      <c r="L65" t="s">
        <v>25</v>
      </c>
      <c r="M65" t="s">
        <v>31</v>
      </c>
      <c r="N65" s="1">
        <f t="shared" si="0"/>
        <v>1.081893313298272</v>
      </c>
      <c r="O65" t="s">
        <v>30</v>
      </c>
      <c r="P65" t="s">
        <v>25</v>
      </c>
      <c r="Q65" t="s">
        <v>30</v>
      </c>
      <c r="R65" t="s">
        <v>33</v>
      </c>
      <c r="S65" t="s">
        <v>34</v>
      </c>
      <c r="T65" t="s">
        <v>25</v>
      </c>
      <c r="U65" t="s">
        <v>182</v>
      </c>
      <c r="V65">
        <v>550</v>
      </c>
    </row>
    <row r="66" spans="1:22" x14ac:dyDescent="0.3">
      <c r="A66" t="s">
        <v>183</v>
      </c>
      <c r="B66" t="s">
        <v>23</v>
      </c>
      <c r="C66" t="s">
        <v>24</v>
      </c>
      <c r="D66" t="s">
        <v>25</v>
      </c>
      <c r="E66" t="s">
        <v>26</v>
      </c>
      <c r="F66">
        <v>368</v>
      </c>
      <c r="G66" t="s">
        <v>27</v>
      </c>
      <c r="H66" t="s">
        <v>25</v>
      </c>
      <c r="I66">
        <v>465</v>
      </c>
      <c r="J66" t="s">
        <v>28</v>
      </c>
      <c r="K66" t="s">
        <v>29</v>
      </c>
      <c r="L66" t="s">
        <v>25</v>
      </c>
      <c r="M66" t="s">
        <v>30</v>
      </c>
      <c r="N66" s="1">
        <f t="shared" si="0"/>
        <v>0.93305983911399681</v>
      </c>
      <c r="O66" t="s">
        <v>31</v>
      </c>
      <c r="P66" t="s">
        <v>184</v>
      </c>
      <c r="Q66" t="s">
        <v>31</v>
      </c>
      <c r="R66" t="s">
        <v>33</v>
      </c>
      <c r="S66" t="s">
        <v>34</v>
      </c>
      <c r="T66" t="s">
        <v>25</v>
      </c>
      <c r="U66" t="s">
        <v>185</v>
      </c>
      <c r="V66">
        <v>368</v>
      </c>
    </row>
  </sheetData>
  <autoFilter ref="A9:V66"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20251007_YumaCoveBW_EL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Lantow, Jeffrey C</cp:lastModifiedBy>
  <dcterms:modified xsi:type="dcterms:W3CDTF">2025-11-12T22:41:54Z</dcterms:modified>
</cp:coreProperties>
</file>