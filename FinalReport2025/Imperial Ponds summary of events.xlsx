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N:\D8000\MSCP\TempMSCP\D15-GenMonMgtNatFishPop\DataMgt\"/>
    </mc:Choice>
  </mc:AlternateContent>
  <xr:revisionPtr revIDLastSave="0" documentId="13_ncr:1_{34B3976C-3FCE-4991-97E2-AD3ADDA5CD08}" xr6:coauthVersionLast="47" xr6:coauthVersionMax="47" xr10:uidLastSave="{00000000-0000-0000-0000-000000000000}"/>
  <bookViews>
    <workbookView xWindow="-11505" yWindow="-21720" windowWidth="51840" windowHeight="21120" activeTab="5" xr2:uid="{084E9E6E-4555-4D87-9DE7-6AB52ABD8AEB}"/>
  </bookViews>
  <sheets>
    <sheet name="IP Pond 1" sheetId="1" r:id="rId1"/>
    <sheet name="IP Pond 2" sheetId="2" r:id="rId2"/>
    <sheet name="IP Pond 3" sheetId="3" r:id="rId3"/>
    <sheet name="IP Pond 4" sheetId="4" r:id="rId4"/>
    <sheet name="IP Pond 5" sheetId="5" r:id="rId5"/>
    <sheet name="IP Pond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6" l="1"/>
  <c r="T7" i="6"/>
  <c r="T6" i="6"/>
  <c r="T7" i="5"/>
  <c r="T6" i="5"/>
  <c r="T8" i="4"/>
  <c r="T7" i="4"/>
  <c r="T6" i="4"/>
  <c r="T8" i="3"/>
  <c r="T7" i="3"/>
  <c r="T6" i="3"/>
  <c r="U8" i="2"/>
  <c r="U7" i="2"/>
  <c r="U6" i="2"/>
  <c r="T8" i="1" l="1"/>
  <c r="T7" i="1"/>
  <c r="T6" i="1"/>
</calcChain>
</file>

<file path=xl/sharedStrings.xml><?xml version="1.0" encoding="utf-8"?>
<sst xmlns="http://schemas.openxmlformats.org/spreadsheetml/2006/main" count="1868" uniqueCount="158">
  <si>
    <t>Date</t>
  </si>
  <si>
    <t>Location</t>
  </si>
  <si>
    <t xml:space="preserve">Event </t>
  </si>
  <si>
    <t>Stocking</t>
  </si>
  <si>
    <t>Netting</t>
  </si>
  <si>
    <t>Number stocked</t>
  </si>
  <si>
    <t>Returned to Pond untagged</t>
  </si>
  <si>
    <t>New tag returned to pond</t>
  </si>
  <si>
    <t>Previously tagged Returned to Pond</t>
  </si>
  <si>
    <t>File</t>
  </si>
  <si>
    <t>y</t>
  </si>
  <si>
    <t>Notes</t>
  </si>
  <si>
    <t>Morts</t>
  </si>
  <si>
    <t>Pond 1</t>
  </si>
  <si>
    <t>FY18 IP Native Fish Breakdown</t>
  </si>
  <si>
    <t>Pond</t>
  </si>
  <si>
    <t>Captured (Stockers/Recruits)</t>
  </si>
  <si>
    <t>Stockers TL at Release (mm)</t>
  </si>
  <si>
    <t>Stockers TL at Capture (mm)</t>
  </si>
  <si>
    <t>Recruit Average TL (mm)</t>
  </si>
  <si>
    <t>Pond 2</t>
  </si>
  <si>
    <t>2009 (23 / 1986)</t>
  </si>
  <si>
    <t>Pond 3</t>
  </si>
  <si>
    <t>34 (34 / 0)</t>
  </si>
  <si>
    <t>N/A</t>
  </si>
  <si>
    <t>Pond 4</t>
  </si>
  <si>
    <t>42 (42 / 0)</t>
  </si>
  <si>
    <t>Pond 5</t>
  </si>
  <si>
    <t>30 (11 / 19)</t>
  </si>
  <si>
    <t>Pond 6</t>
  </si>
  <si>
    <t>56 (48 / 8)</t>
  </si>
  <si>
    <t>stocking</t>
  </si>
  <si>
    <t>Newly tagged fish were 482mm and 522mm (uncertain of orgin)</t>
  </si>
  <si>
    <t>newly tagged fish was 360 mm, probable recruit</t>
  </si>
  <si>
    <t>68 (67 / 1)</t>
  </si>
  <si>
    <t>FY17 IP Monitoring Results</t>
  </si>
  <si>
    <t>Method</t>
  </si>
  <si>
    <t xml:space="preserve">Pond 2 </t>
  </si>
  <si>
    <t>Total</t>
  </si>
  <si>
    <t>Larval Light</t>
  </si>
  <si>
    <t>Larval Dip Net</t>
  </si>
  <si>
    <t>Minnow Traps</t>
  </si>
  <si>
    <t>minnow traps, 41 of the 191 were measured and averaged 34.17mm, minimum 27 and max 47</t>
  </si>
  <si>
    <t>Minow traps, no lengths, just counts</t>
  </si>
  <si>
    <t>minnow traps, no lengths, just counts</t>
  </si>
  <si>
    <t>Minnow traps, no lengths, just counts</t>
  </si>
  <si>
    <t>150mm, captured during larvaal survey</t>
  </si>
  <si>
    <t>Yoy's: 1251 from hoops averaged 92.6mm, 159 from trammel = 130mm, 14 from minnow traps = 46mm, 1 from efishing = 65mm</t>
  </si>
  <si>
    <t>Yoy's: 203 from hoops averaged 102mm, 271 from trammel = 132mm. The 100 tagged yoys = 151mm</t>
  </si>
  <si>
    <t>minnow traps averaged 96mm TL</t>
  </si>
  <si>
    <t xml:space="preserve">Pond 3 </t>
  </si>
  <si>
    <t xml:space="preserve">Pond 4 </t>
  </si>
  <si>
    <t>newly tagged fish averaged 239mm TL</t>
  </si>
  <si>
    <t>Newly tagged fish averaged 262mm</t>
  </si>
  <si>
    <t>Newly tagged fish averaged 204mm</t>
  </si>
  <si>
    <t>FY19 IP Native Fish Breakdown</t>
  </si>
  <si>
    <t>141 (18 / 123)</t>
  </si>
  <si>
    <t>548 (1 / 547)</t>
  </si>
  <si>
    <t>8 (7 / 1)</t>
  </si>
  <si>
    <t>17 (17 / 0)</t>
  </si>
  <si>
    <t>34 (3 / 31)</t>
  </si>
  <si>
    <t>12 (0 / 12)</t>
  </si>
  <si>
    <t>FY19 IP Monitoring Results</t>
  </si>
  <si>
    <t>Larval Light Trap</t>
  </si>
  <si>
    <t>Hoop Nets</t>
  </si>
  <si>
    <t>Trammel Nets</t>
  </si>
  <si>
    <t>Electro Fishing</t>
  </si>
  <si>
    <t xml:space="preserve">Pond 1 </t>
  </si>
  <si>
    <t>Newly tagged fish were 234mm</t>
  </si>
  <si>
    <t>Newly tagged fish were 266mm</t>
  </si>
  <si>
    <t>Fish released without tagging were all less than 100mm</t>
  </si>
  <si>
    <t>hoop and trammel</t>
  </si>
  <si>
    <t>untagged fish averaged 107mm</t>
  </si>
  <si>
    <t>hoops only, newly tagged yoy's averaged 147, the untagged fish were not measured</t>
  </si>
  <si>
    <t>new tag was 319mm</t>
  </si>
  <si>
    <t>newly tagged fish averaged 298mm TL</t>
  </si>
  <si>
    <t>Newly tagged fish averaged 207mm</t>
  </si>
  <si>
    <t>Newly tagged fish were 229mm</t>
  </si>
  <si>
    <t>FY20 IP Monitoring Results</t>
  </si>
  <si>
    <t>Theses summaries were provided for reference while verifying data. Errors were found, the table beginning in column A is the most accurate based on databooks and files.</t>
  </si>
  <si>
    <t>untagged fish averaged 167mm</t>
  </si>
  <si>
    <t>8 razorbacks and one bonytail. Untagged BONY captured and transferred to Pond 2, 319 mm 3DD.003D796065</t>
  </si>
  <si>
    <t>untagged fish averaged 119 mm, newly tagged fish averaged 268</t>
  </si>
  <si>
    <t>Morts were untagged fish. Newly tagged fish, plus morts averaged 311 mm</t>
  </si>
  <si>
    <t>FY21 IP Monitoring Results</t>
  </si>
  <si>
    <t>FY21 IP Native Fish Breakdown</t>
  </si>
  <si>
    <t>83 (6 /77 )</t>
  </si>
  <si>
    <t>38 (0 / 38)</t>
  </si>
  <si>
    <t>19 (15/ 4)</t>
  </si>
  <si>
    <t>10 (9 / 1)</t>
  </si>
  <si>
    <t>90 (3/ 87)</t>
  </si>
  <si>
    <t>Newly tagged fish averaged 259 mm</t>
  </si>
  <si>
    <t>The 3 untagged fish averaged 95mm, two were measured and one escaped prior to measurement.</t>
  </si>
  <si>
    <t>18 razorbacks and one bonytail. Untagged BONY captured and transferred to Pond 5, 454 mm 3DD.003C06F28D</t>
  </si>
  <si>
    <t>the newly tagged fish was 564 mm</t>
  </si>
  <si>
    <t>Fish Kill, 0 fish in 20 hoops and 4 trammels</t>
  </si>
  <si>
    <t>10 fish escpaped from hole in net pen, the 23 untagged fish averaged 322mm</t>
  </si>
  <si>
    <t>FY23 IP Native Fish Breakdown</t>
  </si>
  <si>
    <t>Stockers Average TL at Release (mm)</t>
  </si>
  <si>
    <t>Stockers Average TL at Capture (mm)</t>
  </si>
  <si>
    <t>73 (0/73)</t>
  </si>
  <si>
    <t>1 (1/0)</t>
  </si>
  <si>
    <t>6 (0/6)</t>
  </si>
  <si>
    <t>122 (119/3)</t>
  </si>
  <si>
    <t>250*</t>
  </si>
  <si>
    <t>330**</t>
  </si>
  <si>
    <t>249***</t>
  </si>
  <si>
    <t>106 (1/105)</t>
  </si>
  <si>
    <t>FY22 IP Native Fish Breakdown</t>
  </si>
  <si>
    <t>103 (8/95)</t>
  </si>
  <si>
    <t>111 (0/111)</t>
  </si>
  <si>
    <t>10 (8/2)</t>
  </si>
  <si>
    <t>12 (11/1*)</t>
  </si>
  <si>
    <t>164 (2 / 162)</t>
  </si>
  <si>
    <t>Newly tagged fish averaged 251 mm</t>
  </si>
  <si>
    <t>Newly tagged fish averaged 253 mm</t>
  </si>
  <si>
    <t>untagged fish averaged 224mm</t>
  </si>
  <si>
    <t>newly tagged RASU were 562 and 350</t>
  </si>
  <si>
    <t>new tag was 483mm</t>
  </si>
  <si>
    <t>Newly tagged fish averaged 307 mm</t>
  </si>
  <si>
    <t>Newly tagged fish averaged 303 mm, untagged fish averaged 144mm</t>
  </si>
  <si>
    <t>Newly tagged fish averaged 257 mm</t>
  </si>
  <si>
    <t>newly tagged fish averaged 457mm</t>
  </si>
  <si>
    <t>fish kill in summer 2022</t>
  </si>
  <si>
    <t>All 4 untagged fish (including one mort) were 359,356,141,141mm. 10 recaptured fish were morts</t>
  </si>
  <si>
    <t>Newly tagged fish averaged 296 mm</t>
  </si>
  <si>
    <t>FY24 IP Razorback Breakdown</t>
  </si>
  <si>
    <t>All Captures (Stockers/Recruits)</t>
  </si>
  <si>
    <t>New Captures</t>
  </si>
  <si>
    <t>Recaptures (Stockers/Recaptured recruits)</t>
  </si>
  <si>
    <t>60 (0/60)</t>
  </si>
  <si>
    <t>9 (0/9)</t>
  </si>
  <si>
    <t>1 (0/1)</t>
  </si>
  <si>
    <t>0 (0/0)</t>
  </si>
  <si>
    <t>4 (0/4)</t>
  </si>
  <si>
    <t>65 total captures</t>
  </si>
  <si>
    <t>FY24 IP Bonytail Breakdown</t>
  </si>
  <si>
    <t>495 (82/413)</t>
  </si>
  <si>
    <t>83 (82/1)</t>
  </si>
  <si>
    <t>82 (73/9)</t>
  </si>
  <si>
    <t>74 (73/1)</t>
  </si>
  <si>
    <t>26 (0/26)</t>
  </si>
  <si>
    <t>650 total captures</t>
  </si>
  <si>
    <t>Pond5</t>
  </si>
  <si>
    <t>Newly tagged fish averaged 344 mm</t>
  </si>
  <si>
    <t>2 morts were recaps, the newly tagged fish were 128mm</t>
  </si>
  <si>
    <t>Fish kill, new tag was 581mm</t>
  </si>
  <si>
    <t>newly tagged fish were 476, 460, 308mm</t>
  </si>
  <si>
    <t>4 morts were recaps, newly tagged fish were 304mm</t>
  </si>
  <si>
    <t>mort was untagged fish at 327mm, newly tagged fish averaged 350mm</t>
  </si>
  <si>
    <t>Newly tagged fish averaged 353 mm</t>
  </si>
  <si>
    <t>Did not survey in FY25</t>
  </si>
  <si>
    <t>Newly tagged fish were 235mm</t>
  </si>
  <si>
    <t>Newly tagged fish were 324mm</t>
  </si>
  <si>
    <t>Newly tagged fish were 266mm, two tagged morts.</t>
  </si>
  <si>
    <t xml:space="preserve"> fish released without tag were less than 150mm</t>
  </si>
  <si>
    <t>newly tagged fish averaged 206mm TL, 6 untagged fish returned to pond were 154mm</t>
  </si>
  <si>
    <t>E Fishing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</si>
</sst>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4" fillId="3" borderId="9" xfId="0" applyFont="1" applyFill="1" applyBorder="1"/>
    <xf numFmtId="0" fontId="4" fillId="3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0" fillId="0" borderId="17" xfId="0" applyBorder="1"/>
    <xf numFmtId="0" fontId="4" fillId="3" borderId="19" xfId="0" applyFont="1" applyFill="1" applyBorder="1"/>
    <xf numFmtId="0" fontId="4" fillId="3" borderId="19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 vertical="center"/>
    </xf>
    <xf numFmtId="0" fontId="3" fillId="2" borderId="16" xfId="0" applyFont="1" applyFill="1" applyBorder="1"/>
    <xf numFmtId="0" fontId="2" fillId="2" borderId="16" xfId="0" applyFont="1" applyFill="1" applyBorder="1" applyAlignment="1">
      <alignment horizontal="center" vertical="top"/>
    </xf>
    <xf numFmtId="164" fontId="2" fillId="2" borderId="14" xfId="1" applyNumberFormat="1" applyFont="1" applyFill="1" applyBorder="1" applyAlignment="1">
      <alignment horizontal="center" vertical="top"/>
    </xf>
    <xf numFmtId="164" fontId="2" fillId="2" borderId="16" xfId="1" applyNumberFormat="1" applyFont="1" applyFill="1" applyBorder="1" applyAlignment="1">
      <alignment horizontal="center" vertical="top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ABE2-FCC4-4918-916F-52ECD0D2A030}">
  <dimension ref="A1:AC80"/>
  <sheetViews>
    <sheetView zoomScaleNormal="100" workbookViewId="0">
      <selection activeCell="J23" sqref="J23"/>
    </sheetView>
  </sheetViews>
  <sheetFormatPr defaultRowHeight="14.4" x14ac:dyDescent="0.3"/>
  <cols>
    <col min="1" max="1" width="10.33203125" bestFit="1" customWidth="1"/>
    <col min="2" max="2" width="8.6640625" bestFit="1" customWidth="1"/>
    <col min="3" max="3" width="9.109375" customWidth="1"/>
    <col min="4" max="4" width="7.88671875" style="3" bestFit="1" customWidth="1"/>
    <col min="5" max="5" width="9.44140625" customWidth="1"/>
    <col min="6" max="6" width="8.109375" customWidth="1"/>
    <col min="7" max="7" width="9.109375" style="4" customWidth="1"/>
    <col min="8" max="8" width="6.44140625" customWidth="1"/>
    <col min="9" max="9" width="5" customWidth="1"/>
    <col min="10" max="10" width="99.6640625" bestFit="1" customWidth="1"/>
    <col min="13" max="13" width="12.33203125" bestFit="1" customWidth="1"/>
    <col min="14" max="14" width="27.109375" bestFit="1" customWidth="1"/>
    <col min="15" max="15" width="26.6640625" bestFit="1" customWidth="1"/>
    <col min="16" max="16" width="26.77734375" bestFit="1" customWidth="1"/>
    <col min="17" max="17" width="23.33203125" bestFit="1" customWidth="1"/>
    <col min="18" max="19" width="7.109375" bestFit="1" customWidth="1"/>
    <col min="20" max="20" width="5.44140625" bestFit="1" customWidth="1"/>
  </cols>
  <sheetData>
    <row r="1" spans="1:20" s="2" customFormat="1" ht="105.6" customHeight="1" thickBot="1" x14ac:dyDescent="0.35">
      <c r="A1" s="5" t="s">
        <v>0</v>
      </c>
      <c r="B1" s="5" t="s">
        <v>1</v>
      </c>
      <c r="C1" s="5" t="s">
        <v>2</v>
      </c>
      <c r="D1" s="6" t="s">
        <v>5</v>
      </c>
      <c r="E1" s="5" t="s">
        <v>8</v>
      </c>
      <c r="F1" s="5" t="s">
        <v>7</v>
      </c>
      <c r="G1" s="7" t="s">
        <v>6</v>
      </c>
      <c r="H1" s="5" t="s">
        <v>12</v>
      </c>
      <c r="I1" s="5" t="s">
        <v>9</v>
      </c>
      <c r="J1" s="5" t="s">
        <v>11</v>
      </c>
      <c r="K1" s="5"/>
      <c r="L1" s="5"/>
      <c r="M1" s="5"/>
      <c r="N1" s="5"/>
    </row>
    <row r="2" spans="1:20" x14ac:dyDescent="0.3">
      <c r="A2" s="1">
        <v>42716</v>
      </c>
      <c r="B2" t="s">
        <v>13</v>
      </c>
      <c r="C2" t="s">
        <v>3</v>
      </c>
      <c r="D2" s="3">
        <v>300</v>
      </c>
      <c r="I2" t="s">
        <v>10</v>
      </c>
    </row>
    <row r="3" spans="1:20" x14ac:dyDescent="0.3">
      <c r="A3" s="1"/>
      <c r="M3" t="s">
        <v>79</v>
      </c>
    </row>
    <row r="4" spans="1:20" x14ac:dyDescent="0.3">
      <c r="A4" s="1"/>
      <c r="M4" s="47" t="s">
        <v>35</v>
      </c>
      <c r="N4" s="47"/>
      <c r="O4" s="47"/>
      <c r="P4" s="47"/>
      <c r="Q4" s="47"/>
      <c r="R4" s="47"/>
      <c r="S4" s="47"/>
      <c r="T4" s="47"/>
    </row>
    <row r="5" spans="1:20" x14ac:dyDescent="0.3">
      <c r="A5" s="1">
        <v>43040</v>
      </c>
      <c r="B5" t="s">
        <v>13</v>
      </c>
      <c r="C5" t="s">
        <v>4</v>
      </c>
      <c r="E5">
        <v>8</v>
      </c>
      <c r="F5">
        <v>0</v>
      </c>
      <c r="G5" s="4">
        <v>0</v>
      </c>
      <c r="H5">
        <v>0</v>
      </c>
      <c r="I5" t="s">
        <v>10</v>
      </c>
      <c r="M5" s="8" t="s">
        <v>36</v>
      </c>
      <c r="N5" s="8" t="s">
        <v>13</v>
      </c>
      <c r="O5" s="8" t="s">
        <v>37</v>
      </c>
      <c r="P5" s="8" t="s">
        <v>22</v>
      </c>
      <c r="Q5" s="8" t="s">
        <v>25</v>
      </c>
      <c r="R5" s="8" t="s">
        <v>27</v>
      </c>
      <c r="S5" s="8" t="s">
        <v>29</v>
      </c>
      <c r="T5" s="8" t="s">
        <v>38</v>
      </c>
    </row>
    <row r="6" spans="1:20" x14ac:dyDescent="0.3">
      <c r="A6" s="1">
        <v>43054</v>
      </c>
      <c r="B6" t="s">
        <v>13</v>
      </c>
      <c r="C6" t="s">
        <v>4</v>
      </c>
      <c r="E6">
        <v>26</v>
      </c>
      <c r="F6">
        <v>2</v>
      </c>
      <c r="G6" s="4">
        <v>0</v>
      </c>
      <c r="I6" t="s">
        <v>10</v>
      </c>
      <c r="J6" t="s">
        <v>32</v>
      </c>
      <c r="M6" s="10" t="s">
        <v>39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f>SUM(N6:S6)</f>
        <v>0</v>
      </c>
    </row>
    <row r="7" spans="1:20" x14ac:dyDescent="0.3">
      <c r="A7" s="1">
        <v>43125</v>
      </c>
      <c r="B7" t="s">
        <v>13</v>
      </c>
      <c r="C7" t="s">
        <v>4</v>
      </c>
      <c r="E7">
        <v>1</v>
      </c>
      <c r="F7">
        <v>0</v>
      </c>
      <c r="G7" s="4">
        <v>0</v>
      </c>
      <c r="I7" t="s">
        <v>10</v>
      </c>
      <c r="M7" s="10" t="s">
        <v>40</v>
      </c>
      <c r="N7" s="11">
        <v>0</v>
      </c>
      <c r="O7" s="11">
        <v>87</v>
      </c>
      <c r="P7" s="11">
        <v>0</v>
      </c>
      <c r="Q7" s="11">
        <v>0</v>
      </c>
      <c r="R7" s="11">
        <v>0</v>
      </c>
      <c r="S7" s="11">
        <v>0</v>
      </c>
      <c r="T7" s="11">
        <f>SUM(N7:S7)</f>
        <v>87</v>
      </c>
    </row>
    <row r="8" spans="1:20" x14ac:dyDescent="0.3">
      <c r="A8" s="1">
        <v>43137</v>
      </c>
      <c r="B8" t="s">
        <v>13</v>
      </c>
      <c r="C8" t="s">
        <v>4</v>
      </c>
      <c r="E8">
        <v>17</v>
      </c>
      <c r="F8">
        <v>1</v>
      </c>
      <c r="G8" s="4">
        <v>0</v>
      </c>
      <c r="I8" t="s">
        <v>10</v>
      </c>
      <c r="J8" t="s">
        <v>33</v>
      </c>
      <c r="M8" s="10" t="s">
        <v>41</v>
      </c>
      <c r="N8" s="11">
        <v>0</v>
      </c>
      <c r="O8" s="11">
        <v>799</v>
      </c>
      <c r="P8" s="11">
        <v>0</v>
      </c>
      <c r="Q8" s="11">
        <v>0</v>
      </c>
      <c r="R8" s="11">
        <v>0</v>
      </c>
      <c r="S8" s="11">
        <v>0</v>
      </c>
      <c r="T8" s="11">
        <f>SUM(N8:S8)</f>
        <v>799</v>
      </c>
    </row>
    <row r="9" spans="1:20" x14ac:dyDescent="0.3">
      <c r="A9" s="1">
        <v>43185</v>
      </c>
      <c r="B9" t="s">
        <v>13</v>
      </c>
      <c r="C9" t="s">
        <v>4</v>
      </c>
      <c r="E9">
        <v>13</v>
      </c>
      <c r="F9">
        <v>0</v>
      </c>
      <c r="G9" s="4">
        <v>0</v>
      </c>
      <c r="I9" t="s">
        <v>10</v>
      </c>
    </row>
    <row r="10" spans="1:20" x14ac:dyDescent="0.3">
      <c r="A10" s="1">
        <v>43448</v>
      </c>
      <c r="B10" t="s">
        <v>67</v>
      </c>
      <c r="C10" t="s">
        <v>4</v>
      </c>
      <c r="E10">
        <v>9</v>
      </c>
      <c r="F10">
        <v>71</v>
      </c>
      <c r="G10" s="4">
        <v>12</v>
      </c>
      <c r="I10" t="s">
        <v>10</v>
      </c>
      <c r="J10" t="s">
        <v>155</v>
      </c>
      <c r="M10" s="35" t="s">
        <v>14</v>
      </c>
      <c r="N10" s="36"/>
      <c r="O10" s="36"/>
      <c r="P10" s="36"/>
      <c r="Q10" s="37"/>
    </row>
    <row r="11" spans="1:20" x14ac:dyDescent="0.3">
      <c r="A11" s="1">
        <v>43490</v>
      </c>
      <c r="B11" t="s">
        <v>13</v>
      </c>
      <c r="C11" t="s">
        <v>4</v>
      </c>
      <c r="E11">
        <v>7</v>
      </c>
      <c r="F11">
        <v>19</v>
      </c>
      <c r="G11" s="4">
        <v>0</v>
      </c>
      <c r="I11" t="s">
        <v>10</v>
      </c>
      <c r="J11" t="s">
        <v>68</v>
      </c>
      <c r="M11" s="8" t="s">
        <v>15</v>
      </c>
      <c r="N11" s="8" t="s">
        <v>16</v>
      </c>
      <c r="O11" s="8" t="s">
        <v>17</v>
      </c>
      <c r="P11" s="8" t="s">
        <v>18</v>
      </c>
      <c r="Q11" s="8" t="s">
        <v>19</v>
      </c>
    </row>
    <row r="12" spans="1:20" x14ac:dyDescent="0.3">
      <c r="A12" s="1">
        <v>43510</v>
      </c>
      <c r="B12" t="s">
        <v>13</v>
      </c>
      <c r="C12" t="s">
        <v>4</v>
      </c>
      <c r="E12">
        <v>14</v>
      </c>
      <c r="F12">
        <v>49</v>
      </c>
      <c r="G12" s="4">
        <v>0</v>
      </c>
      <c r="I12" t="s">
        <v>10</v>
      </c>
      <c r="J12" t="s">
        <v>69</v>
      </c>
      <c r="M12" s="10" t="s">
        <v>13</v>
      </c>
      <c r="N12" s="11" t="s">
        <v>34</v>
      </c>
      <c r="O12" s="12">
        <v>425</v>
      </c>
      <c r="P12" s="12">
        <v>516</v>
      </c>
      <c r="Q12" s="12">
        <v>360</v>
      </c>
    </row>
    <row r="13" spans="1:20" x14ac:dyDescent="0.3">
      <c r="A13" s="1">
        <v>43605</v>
      </c>
      <c r="B13" t="s">
        <v>13</v>
      </c>
      <c r="C13" t="s">
        <v>4</v>
      </c>
      <c r="E13">
        <v>0</v>
      </c>
      <c r="F13">
        <v>0</v>
      </c>
      <c r="G13" s="4">
        <v>7</v>
      </c>
      <c r="I13" t="s">
        <v>10</v>
      </c>
      <c r="J13" t="s">
        <v>70</v>
      </c>
      <c r="M13" s="10" t="s">
        <v>20</v>
      </c>
      <c r="N13" s="11" t="s">
        <v>21</v>
      </c>
      <c r="O13" s="12">
        <v>272</v>
      </c>
      <c r="P13" s="12">
        <v>330</v>
      </c>
      <c r="Q13" s="12">
        <v>119</v>
      </c>
    </row>
    <row r="14" spans="1:20" x14ac:dyDescent="0.3">
      <c r="A14" s="1">
        <v>43817</v>
      </c>
      <c r="B14" t="s">
        <v>13</v>
      </c>
      <c r="C14" t="s">
        <v>4</v>
      </c>
      <c r="E14">
        <v>6</v>
      </c>
      <c r="F14">
        <v>55</v>
      </c>
      <c r="G14" s="4">
        <v>0</v>
      </c>
      <c r="I14" t="s">
        <v>10</v>
      </c>
      <c r="J14" t="s">
        <v>77</v>
      </c>
      <c r="M14" s="10" t="s">
        <v>22</v>
      </c>
      <c r="N14" s="11" t="s">
        <v>23</v>
      </c>
      <c r="O14" s="12">
        <v>425</v>
      </c>
      <c r="P14" s="12">
        <v>507</v>
      </c>
      <c r="Q14" s="12" t="s">
        <v>24</v>
      </c>
    </row>
    <row r="15" spans="1:20" x14ac:dyDescent="0.3">
      <c r="A15" s="1">
        <v>44168</v>
      </c>
      <c r="B15" t="s">
        <v>13</v>
      </c>
      <c r="C15" t="s">
        <v>4</v>
      </c>
      <c r="E15">
        <v>14</v>
      </c>
      <c r="F15">
        <v>69</v>
      </c>
      <c r="G15" s="4">
        <v>0</v>
      </c>
      <c r="I15" t="s">
        <v>10</v>
      </c>
      <c r="J15" t="s">
        <v>91</v>
      </c>
      <c r="M15" s="10" t="s">
        <v>25</v>
      </c>
      <c r="N15" s="11" t="s">
        <v>26</v>
      </c>
      <c r="O15" s="12">
        <v>425</v>
      </c>
      <c r="P15" s="12">
        <v>515</v>
      </c>
      <c r="Q15" s="12" t="s">
        <v>24</v>
      </c>
    </row>
    <row r="16" spans="1:20" x14ac:dyDescent="0.3">
      <c r="A16" s="1">
        <v>44537</v>
      </c>
      <c r="B16" t="s">
        <v>13</v>
      </c>
      <c r="C16" t="s">
        <v>4</v>
      </c>
      <c r="E16">
        <v>10</v>
      </c>
      <c r="F16">
        <v>56</v>
      </c>
      <c r="G16" s="4">
        <v>0</v>
      </c>
      <c r="I16" t="s">
        <v>10</v>
      </c>
      <c r="J16" t="s">
        <v>114</v>
      </c>
      <c r="M16" s="10" t="s">
        <v>27</v>
      </c>
      <c r="N16" s="11" t="s">
        <v>28</v>
      </c>
      <c r="O16" s="12">
        <v>272</v>
      </c>
      <c r="P16" s="12">
        <v>354</v>
      </c>
      <c r="Q16" s="12">
        <v>196</v>
      </c>
    </row>
    <row r="17" spans="1:29" x14ac:dyDescent="0.3">
      <c r="A17" s="1">
        <v>44651</v>
      </c>
      <c r="B17" t="s">
        <v>13</v>
      </c>
      <c r="C17" t="s">
        <v>4</v>
      </c>
      <c r="E17">
        <v>9</v>
      </c>
      <c r="F17">
        <v>31</v>
      </c>
      <c r="G17" s="4">
        <v>0</v>
      </c>
      <c r="I17" t="s">
        <v>10</v>
      </c>
      <c r="J17" t="s">
        <v>115</v>
      </c>
      <c r="M17" s="10" t="s">
        <v>29</v>
      </c>
      <c r="N17" s="11" t="s">
        <v>30</v>
      </c>
      <c r="O17" s="12">
        <v>272</v>
      </c>
      <c r="P17" s="12">
        <v>333</v>
      </c>
      <c r="Q17" s="12">
        <v>220</v>
      </c>
    </row>
    <row r="18" spans="1:29" x14ac:dyDescent="0.3">
      <c r="A18" s="1">
        <v>44896</v>
      </c>
      <c r="B18" t="s">
        <v>13</v>
      </c>
      <c r="C18" t="s">
        <v>4</v>
      </c>
      <c r="E18">
        <v>11</v>
      </c>
      <c r="F18">
        <v>62</v>
      </c>
      <c r="J18" t="s">
        <v>121</v>
      </c>
    </row>
    <row r="19" spans="1:29" x14ac:dyDescent="0.3">
      <c r="A19" s="1">
        <v>45258</v>
      </c>
      <c r="B19" t="s">
        <v>13</v>
      </c>
      <c r="C19" t="s">
        <v>4</v>
      </c>
      <c r="E19">
        <v>9</v>
      </c>
      <c r="F19">
        <v>51</v>
      </c>
      <c r="G19" s="4">
        <v>0</v>
      </c>
      <c r="I19" t="s">
        <v>10</v>
      </c>
      <c r="J19" t="s">
        <v>144</v>
      </c>
      <c r="M19" s="35" t="s">
        <v>55</v>
      </c>
      <c r="N19" s="36"/>
      <c r="O19" s="36"/>
      <c r="P19" s="36"/>
      <c r="Q19" s="37"/>
      <c r="W19" s="48" t="s">
        <v>62</v>
      </c>
      <c r="X19" s="48"/>
      <c r="Y19" s="48"/>
      <c r="Z19" s="48"/>
      <c r="AA19" s="48"/>
      <c r="AB19" s="48"/>
      <c r="AC19" s="48"/>
    </row>
    <row r="20" spans="1:29" x14ac:dyDescent="0.3">
      <c r="A20" s="1">
        <v>45610</v>
      </c>
      <c r="B20" t="s">
        <v>13</v>
      </c>
      <c r="C20" t="s">
        <v>31</v>
      </c>
      <c r="D20" s="3">
        <v>100</v>
      </c>
      <c r="I20" t="s">
        <v>10</v>
      </c>
      <c r="M20" s="8" t="s">
        <v>15</v>
      </c>
      <c r="N20" s="8" t="s">
        <v>16</v>
      </c>
      <c r="O20" s="8" t="s">
        <v>17</v>
      </c>
      <c r="P20" s="8" t="s">
        <v>18</v>
      </c>
      <c r="Q20" s="8" t="s">
        <v>19</v>
      </c>
      <c r="W20" s="8" t="s">
        <v>36</v>
      </c>
      <c r="X20" s="8" t="s">
        <v>13</v>
      </c>
      <c r="Y20" s="8" t="s">
        <v>37</v>
      </c>
      <c r="Z20" s="8" t="s">
        <v>22</v>
      </c>
      <c r="AA20" s="8" t="s">
        <v>25</v>
      </c>
      <c r="AB20" s="8" t="s">
        <v>27</v>
      </c>
      <c r="AC20" s="8" t="s">
        <v>29</v>
      </c>
    </row>
    <row r="21" spans="1:29" x14ac:dyDescent="0.3">
      <c r="A21" s="1">
        <v>45630</v>
      </c>
      <c r="B21" t="s">
        <v>13</v>
      </c>
      <c r="C21" t="s">
        <v>4</v>
      </c>
      <c r="E21">
        <v>21</v>
      </c>
      <c r="F21">
        <v>51</v>
      </c>
      <c r="G21" s="4">
        <v>0</v>
      </c>
      <c r="H21">
        <v>0</v>
      </c>
      <c r="I21" t="s">
        <v>10</v>
      </c>
      <c r="J21" t="s">
        <v>150</v>
      </c>
      <c r="M21" s="10" t="s">
        <v>13</v>
      </c>
      <c r="N21" s="11" t="s">
        <v>56</v>
      </c>
      <c r="O21" s="12">
        <v>425</v>
      </c>
      <c r="P21" s="12">
        <v>535</v>
      </c>
      <c r="Q21" s="12">
        <v>261</v>
      </c>
      <c r="W21" s="10" t="s">
        <v>63</v>
      </c>
      <c r="X21" s="12" t="s">
        <v>24</v>
      </c>
      <c r="Y21" s="12" t="s">
        <v>24</v>
      </c>
      <c r="Z21" s="12" t="s">
        <v>24</v>
      </c>
      <c r="AA21" s="12" t="s">
        <v>24</v>
      </c>
      <c r="AB21" s="12" t="s">
        <v>24</v>
      </c>
      <c r="AC21" s="12" t="s">
        <v>24</v>
      </c>
    </row>
    <row r="22" spans="1:29" x14ac:dyDescent="0.3">
      <c r="A22" s="1"/>
      <c r="M22" s="10" t="s">
        <v>20</v>
      </c>
      <c r="N22" s="11" t="s">
        <v>57</v>
      </c>
      <c r="O22" s="12">
        <v>274</v>
      </c>
      <c r="P22" s="12">
        <v>356</v>
      </c>
      <c r="Q22" s="12">
        <v>130</v>
      </c>
      <c r="W22" s="10" t="s">
        <v>40</v>
      </c>
      <c r="X22" s="12">
        <v>42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3">
      <c r="A23" s="1"/>
      <c r="M23" s="10" t="s">
        <v>22</v>
      </c>
      <c r="N23" s="11" t="s">
        <v>58</v>
      </c>
      <c r="O23" s="12">
        <v>425</v>
      </c>
      <c r="P23" s="12">
        <v>540</v>
      </c>
      <c r="Q23" s="12">
        <v>319</v>
      </c>
      <c r="W23" s="10" t="s">
        <v>41</v>
      </c>
      <c r="X23" s="12">
        <v>0</v>
      </c>
      <c r="Y23" s="12" t="s">
        <v>24</v>
      </c>
      <c r="Z23" s="12" t="s">
        <v>24</v>
      </c>
      <c r="AA23" s="12" t="s">
        <v>24</v>
      </c>
      <c r="AB23" s="12">
        <v>0</v>
      </c>
      <c r="AC23" s="12">
        <v>0</v>
      </c>
    </row>
    <row r="24" spans="1:29" x14ac:dyDescent="0.3">
      <c r="A24" s="1"/>
      <c r="M24" s="10" t="s">
        <v>25</v>
      </c>
      <c r="N24" s="11" t="s">
        <v>59</v>
      </c>
      <c r="O24" s="12">
        <v>425</v>
      </c>
      <c r="P24" s="12">
        <v>528</v>
      </c>
      <c r="Q24" s="12" t="s">
        <v>24</v>
      </c>
      <c r="W24" s="10" t="s">
        <v>64</v>
      </c>
      <c r="X24" s="12">
        <v>116</v>
      </c>
      <c r="Y24" s="12">
        <v>540</v>
      </c>
      <c r="Z24" s="12">
        <v>2</v>
      </c>
      <c r="AA24" s="12">
        <v>2</v>
      </c>
      <c r="AB24" s="12">
        <v>11</v>
      </c>
      <c r="AC24" s="12">
        <v>3</v>
      </c>
    </row>
    <row r="25" spans="1:29" x14ac:dyDescent="0.3">
      <c r="A25" s="1"/>
      <c r="M25" s="10" t="s">
        <v>27</v>
      </c>
      <c r="N25" s="11" t="s">
        <v>60</v>
      </c>
      <c r="O25" s="12">
        <v>272</v>
      </c>
      <c r="P25" s="12">
        <v>427</v>
      </c>
      <c r="Q25" s="12">
        <v>301</v>
      </c>
      <c r="W25" s="10" t="s">
        <v>65</v>
      </c>
      <c r="X25" s="12">
        <v>25</v>
      </c>
      <c r="Y25" s="12">
        <v>8</v>
      </c>
      <c r="Z25" s="12">
        <v>6</v>
      </c>
      <c r="AA25" s="12">
        <v>15</v>
      </c>
      <c r="AB25" s="12">
        <v>24</v>
      </c>
      <c r="AC25" s="12">
        <v>9</v>
      </c>
    </row>
    <row r="26" spans="1:29" x14ac:dyDescent="0.3">
      <c r="A26" s="1"/>
      <c r="M26" s="10" t="s">
        <v>29</v>
      </c>
      <c r="N26" s="11" t="s">
        <v>61</v>
      </c>
      <c r="O26" s="12" t="s">
        <v>24</v>
      </c>
      <c r="P26" s="12" t="s">
        <v>24</v>
      </c>
      <c r="Q26" s="12">
        <v>207</v>
      </c>
      <c r="W26" s="10" t="s">
        <v>66</v>
      </c>
      <c r="X26" s="12" t="s">
        <v>24</v>
      </c>
      <c r="Y26" s="12" t="s">
        <v>24</v>
      </c>
      <c r="Z26" s="12" t="s">
        <v>24</v>
      </c>
      <c r="AA26" s="12" t="s">
        <v>24</v>
      </c>
      <c r="AB26" s="12" t="s">
        <v>24</v>
      </c>
      <c r="AC26" s="12" t="s">
        <v>24</v>
      </c>
    </row>
    <row r="28" spans="1:29" ht="17.399999999999999" x14ac:dyDescent="0.3">
      <c r="M28" s="34" t="s">
        <v>78</v>
      </c>
      <c r="N28" s="34"/>
      <c r="O28" s="34"/>
      <c r="P28" s="34"/>
      <c r="Q28" s="34"/>
      <c r="R28" s="34"/>
      <c r="S28" s="34"/>
    </row>
    <row r="29" spans="1:29" x14ac:dyDescent="0.3">
      <c r="M29" s="13" t="s">
        <v>36</v>
      </c>
      <c r="N29" s="13" t="s">
        <v>13</v>
      </c>
      <c r="O29" s="13" t="s">
        <v>37</v>
      </c>
      <c r="P29" s="13" t="s">
        <v>22</v>
      </c>
      <c r="Q29" s="13" t="s">
        <v>25</v>
      </c>
      <c r="R29" s="13" t="s">
        <v>27</v>
      </c>
      <c r="S29" s="13" t="s">
        <v>29</v>
      </c>
    </row>
    <row r="30" spans="1:29" x14ac:dyDescent="0.3">
      <c r="M30" s="14" t="s">
        <v>63</v>
      </c>
      <c r="N30" s="15" t="s">
        <v>24</v>
      </c>
      <c r="O30" s="15" t="s">
        <v>24</v>
      </c>
      <c r="P30" s="15" t="s">
        <v>24</v>
      </c>
      <c r="Q30" s="15" t="s">
        <v>24</v>
      </c>
      <c r="R30" s="15" t="s">
        <v>24</v>
      </c>
      <c r="S30" s="15" t="s">
        <v>24</v>
      </c>
    </row>
    <row r="31" spans="1:29" x14ac:dyDescent="0.3">
      <c r="M31" s="14" t="s">
        <v>40</v>
      </c>
      <c r="N31" s="15">
        <v>120</v>
      </c>
      <c r="O31" s="15" t="s">
        <v>24</v>
      </c>
      <c r="P31" s="15">
        <v>0</v>
      </c>
      <c r="Q31" s="15">
        <v>0</v>
      </c>
      <c r="R31" s="15" t="s">
        <v>24</v>
      </c>
      <c r="S31" s="15">
        <v>0</v>
      </c>
    </row>
    <row r="32" spans="1:29" x14ac:dyDescent="0.3">
      <c r="M32" s="14" t="s">
        <v>41</v>
      </c>
      <c r="N32" s="15" t="s">
        <v>24</v>
      </c>
      <c r="O32" s="15" t="s">
        <v>24</v>
      </c>
      <c r="P32" s="15" t="s">
        <v>24</v>
      </c>
      <c r="Q32" s="15" t="s">
        <v>24</v>
      </c>
      <c r="R32" s="15">
        <v>0</v>
      </c>
      <c r="S32" s="15">
        <v>0</v>
      </c>
    </row>
    <row r="33" spans="13:29" x14ac:dyDescent="0.3">
      <c r="M33" s="14" t="s">
        <v>64</v>
      </c>
      <c r="N33" s="15">
        <v>7</v>
      </c>
      <c r="O33" s="15">
        <v>242</v>
      </c>
      <c r="P33" s="15">
        <v>1</v>
      </c>
      <c r="Q33" s="15">
        <v>0</v>
      </c>
      <c r="R33" s="15">
        <v>24</v>
      </c>
      <c r="S33" s="15">
        <v>5</v>
      </c>
    </row>
    <row r="34" spans="13:29" x14ac:dyDescent="0.3">
      <c r="M34" s="14" t="s">
        <v>65</v>
      </c>
      <c r="N34" s="15">
        <v>37</v>
      </c>
      <c r="O34" s="15">
        <v>77</v>
      </c>
      <c r="P34" s="15">
        <v>7</v>
      </c>
      <c r="Q34" s="15">
        <v>15</v>
      </c>
      <c r="R34" s="15">
        <v>94</v>
      </c>
      <c r="S34" s="15">
        <v>79</v>
      </c>
    </row>
    <row r="35" spans="13:29" x14ac:dyDescent="0.3">
      <c r="M35" s="14" t="s">
        <v>66</v>
      </c>
      <c r="N35" s="15" t="s">
        <v>24</v>
      </c>
      <c r="O35" s="15" t="s">
        <v>24</v>
      </c>
      <c r="P35" s="15" t="s">
        <v>24</v>
      </c>
      <c r="Q35" s="15" t="s">
        <v>24</v>
      </c>
      <c r="R35" s="15" t="s">
        <v>24</v>
      </c>
      <c r="S35" s="15" t="s">
        <v>24</v>
      </c>
    </row>
    <row r="37" spans="13:29" ht="17.399999999999999" x14ac:dyDescent="0.3">
      <c r="M37" s="31" t="s">
        <v>85</v>
      </c>
      <c r="N37" s="32"/>
      <c r="O37" s="32"/>
      <c r="P37" s="32"/>
      <c r="Q37" s="33"/>
      <c r="W37" s="34" t="s">
        <v>84</v>
      </c>
      <c r="X37" s="34"/>
      <c r="Y37" s="34"/>
      <c r="Z37" s="34"/>
      <c r="AA37" s="34"/>
      <c r="AB37" s="34"/>
      <c r="AC37" s="34"/>
    </row>
    <row r="38" spans="13:29" x14ac:dyDescent="0.3">
      <c r="M38" s="8" t="s">
        <v>15</v>
      </c>
      <c r="N38" s="9" t="s">
        <v>16</v>
      </c>
      <c r="O38" s="9" t="s">
        <v>17</v>
      </c>
      <c r="P38" s="9" t="s">
        <v>18</v>
      </c>
      <c r="Q38" s="9" t="s">
        <v>19</v>
      </c>
      <c r="W38" s="13" t="s">
        <v>36</v>
      </c>
      <c r="X38" s="13" t="s">
        <v>13</v>
      </c>
      <c r="Y38" s="13" t="s">
        <v>37</v>
      </c>
      <c r="Z38" s="13" t="s">
        <v>22</v>
      </c>
      <c r="AA38" s="13" t="s">
        <v>25</v>
      </c>
      <c r="AB38" s="13" t="s">
        <v>27</v>
      </c>
      <c r="AC38" s="13" t="s">
        <v>29</v>
      </c>
    </row>
    <row r="39" spans="13:29" x14ac:dyDescent="0.3">
      <c r="M39" s="14" t="s">
        <v>13</v>
      </c>
      <c r="N39" s="16" t="s">
        <v>86</v>
      </c>
      <c r="O39" s="15">
        <v>435</v>
      </c>
      <c r="P39" s="15">
        <v>538</v>
      </c>
      <c r="Q39" s="15">
        <v>256</v>
      </c>
      <c r="W39" s="14" t="s">
        <v>63</v>
      </c>
      <c r="X39" s="15" t="s">
        <v>24</v>
      </c>
      <c r="Y39" s="15" t="s">
        <v>24</v>
      </c>
      <c r="Z39" s="15" t="s">
        <v>24</v>
      </c>
      <c r="AA39" s="15" t="s">
        <v>24</v>
      </c>
      <c r="AB39" s="15" t="s">
        <v>24</v>
      </c>
      <c r="AC39" s="15" t="s">
        <v>24</v>
      </c>
    </row>
    <row r="40" spans="13:29" x14ac:dyDescent="0.3">
      <c r="M40" s="14" t="s">
        <v>20</v>
      </c>
      <c r="N40" s="16" t="s">
        <v>87</v>
      </c>
      <c r="O40" s="15" t="s">
        <v>24</v>
      </c>
      <c r="P40" s="15" t="s">
        <v>24</v>
      </c>
      <c r="Q40" s="15">
        <v>175</v>
      </c>
      <c r="W40" s="14" t="s">
        <v>40</v>
      </c>
      <c r="X40" s="15">
        <v>19</v>
      </c>
      <c r="Y40" s="15" t="s">
        <v>24</v>
      </c>
      <c r="Z40" s="15">
        <v>1</v>
      </c>
      <c r="AA40" s="15">
        <v>0</v>
      </c>
      <c r="AB40" s="15" t="s">
        <v>24</v>
      </c>
      <c r="AC40" s="15" t="s">
        <v>24</v>
      </c>
    </row>
    <row r="41" spans="13:29" x14ac:dyDescent="0.3">
      <c r="M41" s="14" t="s">
        <v>22</v>
      </c>
      <c r="N41" s="16" t="s">
        <v>88</v>
      </c>
      <c r="O41" s="15">
        <v>428</v>
      </c>
      <c r="P41" s="15">
        <v>561</v>
      </c>
      <c r="Q41" s="15">
        <v>319</v>
      </c>
      <c r="W41" s="14" t="s">
        <v>41</v>
      </c>
      <c r="X41" s="15" t="s">
        <v>24</v>
      </c>
      <c r="Y41" s="15" t="s">
        <v>24</v>
      </c>
      <c r="Z41" s="15" t="s">
        <v>24</v>
      </c>
      <c r="AA41" s="15" t="s">
        <v>24</v>
      </c>
      <c r="AB41" s="15" t="s">
        <v>24</v>
      </c>
      <c r="AC41" s="15">
        <v>0</v>
      </c>
    </row>
    <row r="42" spans="13:29" x14ac:dyDescent="0.3">
      <c r="M42" s="14" t="s">
        <v>25</v>
      </c>
      <c r="N42" s="16" t="s">
        <v>89</v>
      </c>
      <c r="O42" s="15">
        <v>425</v>
      </c>
      <c r="P42" s="15">
        <v>562</v>
      </c>
      <c r="Q42" s="15">
        <v>564</v>
      </c>
      <c r="W42" s="14" t="s">
        <v>64</v>
      </c>
      <c r="X42" s="15">
        <v>35</v>
      </c>
      <c r="Y42" s="15">
        <v>20</v>
      </c>
      <c r="Z42" s="15">
        <v>0</v>
      </c>
      <c r="AA42" s="15">
        <v>0</v>
      </c>
      <c r="AB42" s="15">
        <v>0</v>
      </c>
      <c r="AC42" s="15">
        <v>21</v>
      </c>
    </row>
    <row r="43" spans="13:29" x14ac:dyDescent="0.3">
      <c r="M43" s="14" t="s">
        <v>27</v>
      </c>
      <c r="N43" s="16">
        <v>0</v>
      </c>
      <c r="O43" s="15" t="s">
        <v>24</v>
      </c>
      <c r="P43" s="15" t="s">
        <v>24</v>
      </c>
      <c r="Q43" s="15" t="s">
        <v>24</v>
      </c>
      <c r="W43" s="14" t="s">
        <v>65</v>
      </c>
      <c r="X43" s="15">
        <v>48</v>
      </c>
      <c r="Y43" s="15">
        <v>18</v>
      </c>
      <c r="Z43" s="15">
        <v>19</v>
      </c>
      <c r="AA43" s="15">
        <v>10</v>
      </c>
      <c r="AB43" s="15">
        <v>0</v>
      </c>
      <c r="AC43" s="15">
        <v>69</v>
      </c>
    </row>
    <row r="44" spans="13:29" x14ac:dyDescent="0.3">
      <c r="M44" s="14" t="s">
        <v>29</v>
      </c>
      <c r="N44" s="16" t="s">
        <v>90</v>
      </c>
      <c r="O44" s="15">
        <v>268</v>
      </c>
      <c r="P44" s="15">
        <v>403</v>
      </c>
      <c r="Q44" s="15">
        <v>244</v>
      </c>
      <c r="W44" s="14" t="s">
        <v>66</v>
      </c>
      <c r="X44" s="15" t="s">
        <v>24</v>
      </c>
      <c r="Y44" s="15" t="s">
        <v>24</v>
      </c>
      <c r="Z44" s="15" t="s">
        <v>24</v>
      </c>
      <c r="AA44" s="15" t="s">
        <v>24</v>
      </c>
      <c r="AB44" s="15" t="s">
        <v>24</v>
      </c>
      <c r="AC44" s="15" t="s">
        <v>24</v>
      </c>
    </row>
    <row r="46" spans="13:29" x14ac:dyDescent="0.3">
      <c r="M46" s="35" t="s">
        <v>108</v>
      </c>
      <c r="N46" s="36"/>
      <c r="O46" s="36"/>
      <c r="P46" s="36"/>
      <c r="Q46" s="37"/>
    </row>
    <row r="47" spans="13:29" x14ac:dyDescent="0.3">
      <c r="M47" s="8" t="s">
        <v>15</v>
      </c>
      <c r="N47" s="9" t="s">
        <v>16</v>
      </c>
      <c r="O47" s="9" t="s">
        <v>17</v>
      </c>
      <c r="P47" s="9" t="s">
        <v>18</v>
      </c>
      <c r="Q47" s="9" t="s">
        <v>19</v>
      </c>
    </row>
    <row r="48" spans="13:29" x14ac:dyDescent="0.3">
      <c r="M48" s="10" t="s">
        <v>13</v>
      </c>
      <c r="N48" s="11" t="s">
        <v>109</v>
      </c>
      <c r="O48" s="12">
        <v>441</v>
      </c>
      <c r="P48" s="12">
        <v>549</v>
      </c>
      <c r="Q48" s="12">
        <v>282</v>
      </c>
    </row>
    <row r="49" spans="13:17" x14ac:dyDescent="0.3">
      <c r="M49" s="10" t="s">
        <v>20</v>
      </c>
      <c r="N49" s="11" t="s">
        <v>110</v>
      </c>
      <c r="O49" s="12" t="s">
        <v>24</v>
      </c>
      <c r="P49" s="12" t="s">
        <v>24</v>
      </c>
      <c r="Q49" s="12">
        <v>226</v>
      </c>
    </row>
    <row r="50" spans="13:17" x14ac:dyDescent="0.3">
      <c r="M50" s="10" t="s">
        <v>22</v>
      </c>
      <c r="N50" s="11" t="s">
        <v>111</v>
      </c>
      <c r="O50" s="12">
        <v>428</v>
      </c>
      <c r="P50" s="12">
        <v>555</v>
      </c>
      <c r="Q50" s="12">
        <v>456</v>
      </c>
    </row>
    <row r="51" spans="13:17" x14ac:dyDescent="0.3">
      <c r="M51" s="10" t="s">
        <v>25</v>
      </c>
      <c r="N51" s="11" t="s">
        <v>112</v>
      </c>
      <c r="O51" s="12">
        <v>441</v>
      </c>
      <c r="P51" s="12">
        <v>561</v>
      </c>
      <c r="Q51" s="12">
        <v>483</v>
      </c>
    </row>
    <row r="52" spans="13:17" x14ac:dyDescent="0.3">
      <c r="M52" s="10" t="s">
        <v>27</v>
      </c>
      <c r="N52" s="11">
        <v>0</v>
      </c>
      <c r="O52" s="12" t="s">
        <v>24</v>
      </c>
      <c r="P52" s="12" t="s">
        <v>24</v>
      </c>
      <c r="Q52" s="12" t="s">
        <v>24</v>
      </c>
    </row>
    <row r="53" spans="13:17" x14ac:dyDescent="0.3">
      <c r="M53" s="10" t="s">
        <v>29</v>
      </c>
      <c r="N53" s="11" t="s">
        <v>113</v>
      </c>
      <c r="O53" s="12">
        <v>259</v>
      </c>
      <c r="P53" s="12">
        <v>417</v>
      </c>
      <c r="Q53" s="12">
        <v>289</v>
      </c>
    </row>
    <row r="54" spans="13:17" x14ac:dyDescent="0.3">
      <c r="M54" s="14" t="s">
        <v>29</v>
      </c>
      <c r="N54" s="16" t="s">
        <v>107</v>
      </c>
      <c r="O54" s="15">
        <v>265</v>
      </c>
      <c r="P54" s="15">
        <v>387</v>
      </c>
      <c r="Q54" s="15">
        <v>305</v>
      </c>
    </row>
    <row r="56" spans="13:17" ht="17.399999999999999" x14ac:dyDescent="0.3">
      <c r="M56" s="38" t="s">
        <v>97</v>
      </c>
      <c r="N56" s="39"/>
      <c r="O56" s="39"/>
      <c r="P56" s="39"/>
      <c r="Q56" s="40"/>
    </row>
    <row r="57" spans="13:17" x14ac:dyDescent="0.3">
      <c r="M57" s="17"/>
      <c r="N57" s="18"/>
      <c r="O57" s="18"/>
      <c r="P57" s="18"/>
      <c r="Q57" s="19"/>
    </row>
    <row r="58" spans="13:17" ht="26.4" x14ac:dyDescent="0.3">
      <c r="M58" s="20" t="s">
        <v>15</v>
      </c>
      <c r="N58" s="21" t="s">
        <v>16</v>
      </c>
      <c r="O58" s="21" t="s">
        <v>98</v>
      </c>
      <c r="P58" s="21" t="s">
        <v>99</v>
      </c>
      <c r="Q58" s="21" t="s">
        <v>19</v>
      </c>
    </row>
    <row r="59" spans="13:17" x14ac:dyDescent="0.3">
      <c r="M59" s="14" t="s">
        <v>13</v>
      </c>
      <c r="N59" s="16" t="s">
        <v>100</v>
      </c>
      <c r="O59" s="15" t="s">
        <v>24</v>
      </c>
      <c r="P59" s="15" t="s">
        <v>24</v>
      </c>
      <c r="Q59" s="15">
        <v>276</v>
      </c>
    </row>
    <row r="60" spans="13:17" x14ac:dyDescent="0.3">
      <c r="M60" s="14" t="s">
        <v>20</v>
      </c>
      <c r="N60" s="16">
        <v>0</v>
      </c>
      <c r="O60" s="15" t="s">
        <v>24</v>
      </c>
      <c r="P60" s="15" t="s">
        <v>24</v>
      </c>
      <c r="Q60" s="15" t="s">
        <v>24</v>
      </c>
    </row>
    <row r="61" spans="13:17" x14ac:dyDescent="0.3">
      <c r="M61" s="14" t="s">
        <v>22</v>
      </c>
      <c r="N61" s="16" t="s">
        <v>101</v>
      </c>
      <c r="O61" s="15">
        <v>441</v>
      </c>
      <c r="P61" s="15">
        <v>581</v>
      </c>
      <c r="Q61" s="15" t="s">
        <v>24</v>
      </c>
    </row>
    <row r="62" spans="13:17" x14ac:dyDescent="0.3">
      <c r="M62" s="14" t="s">
        <v>25</v>
      </c>
      <c r="N62" s="16" t="s">
        <v>102</v>
      </c>
      <c r="O62" s="15" t="s">
        <v>24</v>
      </c>
      <c r="P62" s="15" t="s">
        <v>24</v>
      </c>
      <c r="Q62" s="15">
        <v>457</v>
      </c>
    </row>
    <row r="63" spans="13:17" x14ac:dyDescent="0.3">
      <c r="M63" s="14" t="s">
        <v>27</v>
      </c>
      <c r="N63" s="16" t="s">
        <v>103</v>
      </c>
      <c r="O63" s="15" t="s">
        <v>104</v>
      </c>
      <c r="P63" s="15" t="s">
        <v>105</v>
      </c>
      <c r="Q63" s="15" t="s">
        <v>106</v>
      </c>
    </row>
    <row r="64" spans="13:17" x14ac:dyDescent="0.3">
      <c r="M64" s="14" t="s">
        <v>29</v>
      </c>
      <c r="N64" s="16" t="s">
        <v>107</v>
      </c>
      <c r="O64" s="15">
        <v>265</v>
      </c>
      <c r="P64" s="15">
        <v>387</v>
      </c>
      <c r="Q64" s="15">
        <v>305</v>
      </c>
    </row>
    <row r="66" spans="13:16" x14ac:dyDescent="0.3">
      <c r="M66" s="41" t="s">
        <v>126</v>
      </c>
      <c r="N66" s="42"/>
      <c r="O66" s="42"/>
      <c r="P66" s="43"/>
    </row>
    <row r="67" spans="13:16" x14ac:dyDescent="0.3">
      <c r="M67" s="44"/>
      <c r="N67" s="45"/>
      <c r="O67" s="45"/>
      <c r="P67" s="46"/>
    </row>
    <row r="68" spans="13:16" ht="39.6" x14ac:dyDescent="0.3">
      <c r="M68" s="20" t="s">
        <v>15</v>
      </c>
      <c r="N68" s="21" t="s">
        <v>127</v>
      </c>
      <c r="O68" s="21" t="s">
        <v>128</v>
      </c>
      <c r="P68" s="21" t="s">
        <v>129</v>
      </c>
    </row>
    <row r="69" spans="13:16" x14ac:dyDescent="0.3">
      <c r="M69" s="14" t="s">
        <v>13</v>
      </c>
      <c r="N69" s="16" t="s">
        <v>130</v>
      </c>
      <c r="O69" s="15">
        <v>51</v>
      </c>
      <c r="P69" s="15" t="s">
        <v>131</v>
      </c>
    </row>
    <row r="70" spans="13:16" x14ac:dyDescent="0.3">
      <c r="M70" s="14" t="s">
        <v>22</v>
      </c>
      <c r="N70" s="16" t="s">
        <v>132</v>
      </c>
      <c r="O70" s="15">
        <v>1</v>
      </c>
      <c r="P70" s="15" t="s">
        <v>133</v>
      </c>
    </row>
    <row r="71" spans="13:16" ht="15" thickBot="1" x14ac:dyDescent="0.35">
      <c r="M71" s="24" t="s">
        <v>25</v>
      </c>
      <c r="N71" s="25" t="s">
        <v>134</v>
      </c>
      <c r="O71" s="26">
        <v>3</v>
      </c>
      <c r="P71" s="26" t="s">
        <v>132</v>
      </c>
    </row>
    <row r="72" spans="13:16" x14ac:dyDescent="0.3">
      <c r="M72" s="27"/>
      <c r="N72" s="28" t="s">
        <v>135</v>
      </c>
      <c r="O72" s="29">
        <v>0.84615384615384615</v>
      </c>
      <c r="P72" s="30">
        <v>0.15384615384615385</v>
      </c>
    </row>
    <row r="74" spans="13:16" x14ac:dyDescent="0.3">
      <c r="M74" s="41" t="s">
        <v>136</v>
      </c>
      <c r="N74" s="42"/>
      <c r="O74" s="42"/>
      <c r="P74" s="43"/>
    </row>
    <row r="75" spans="13:16" x14ac:dyDescent="0.3">
      <c r="M75" s="44"/>
      <c r="N75" s="45"/>
      <c r="O75" s="45"/>
      <c r="P75" s="46"/>
    </row>
    <row r="76" spans="13:16" ht="39.6" x14ac:dyDescent="0.3">
      <c r="M76" s="20" t="s">
        <v>15</v>
      </c>
      <c r="N76" s="21" t="s">
        <v>127</v>
      </c>
      <c r="O76" s="21" t="s">
        <v>128</v>
      </c>
      <c r="P76" s="21" t="s">
        <v>129</v>
      </c>
    </row>
    <row r="77" spans="13:16" x14ac:dyDescent="0.3">
      <c r="M77" s="14" t="s">
        <v>20</v>
      </c>
      <c r="N77" s="16" t="s">
        <v>137</v>
      </c>
      <c r="O77" s="15">
        <v>412</v>
      </c>
      <c r="P77" s="15" t="s">
        <v>138</v>
      </c>
    </row>
    <row r="78" spans="13:16" x14ac:dyDescent="0.3">
      <c r="M78" s="14" t="s">
        <v>27</v>
      </c>
      <c r="N78" s="16" t="s">
        <v>139</v>
      </c>
      <c r="O78" s="15">
        <v>8</v>
      </c>
      <c r="P78" s="15" t="s">
        <v>140</v>
      </c>
    </row>
    <row r="79" spans="13:16" x14ac:dyDescent="0.3">
      <c r="M79" s="14" t="s">
        <v>29</v>
      </c>
      <c r="N79" s="16" t="s">
        <v>100</v>
      </c>
      <c r="O79" s="15">
        <v>47</v>
      </c>
      <c r="P79" s="15" t="s">
        <v>141</v>
      </c>
    </row>
    <row r="80" spans="13:16" x14ac:dyDescent="0.3">
      <c r="M80" s="27"/>
      <c r="N80" s="28" t="s">
        <v>142</v>
      </c>
      <c r="O80" s="29">
        <v>0.71846153846153848</v>
      </c>
      <c r="P80" s="30">
        <v>0.28153846153846152</v>
      </c>
    </row>
  </sheetData>
  <sortState xmlns:xlrd2="http://schemas.microsoft.com/office/spreadsheetml/2017/richdata2" ref="A2:J32">
    <sortCondition ref="A1:A32"/>
  </sortState>
  <mergeCells count="11">
    <mergeCell ref="M74:P75"/>
    <mergeCell ref="M10:Q10"/>
    <mergeCell ref="M4:T4"/>
    <mergeCell ref="M19:Q19"/>
    <mergeCell ref="W19:AC19"/>
    <mergeCell ref="M28:S28"/>
    <mergeCell ref="M37:Q37"/>
    <mergeCell ref="W37:AC37"/>
    <mergeCell ref="M46:Q46"/>
    <mergeCell ref="M56:Q56"/>
    <mergeCell ref="M66:P6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CD758-51F9-4CE5-987A-42093ECDB807}">
  <dimension ref="A1:AD81"/>
  <sheetViews>
    <sheetView workbookViewId="0">
      <selection activeCell="J25" sqref="J25"/>
    </sheetView>
  </sheetViews>
  <sheetFormatPr defaultRowHeight="14.4" x14ac:dyDescent="0.3"/>
  <cols>
    <col min="1" max="1" width="10.33203125" bestFit="1" customWidth="1"/>
    <col min="2" max="2" width="8.6640625" bestFit="1" customWidth="1"/>
    <col min="3" max="3" width="8.21875" bestFit="1" customWidth="1"/>
    <col min="4" max="4" width="7.88671875" style="3" bestFit="1" customWidth="1"/>
    <col min="5" max="5" width="9.44140625" customWidth="1"/>
    <col min="6" max="6" width="8.109375" customWidth="1"/>
    <col min="7" max="7" width="9.109375" style="4" customWidth="1"/>
    <col min="8" max="8" width="6.44140625" customWidth="1"/>
    <col min="9" max="9" width="5" customWidth="1"/>
    <col min="10" max="10" width="99.6640625" bestFit="1" customWidth="1"/>
    <col min="14" max="14" width="12.33203125" bestFit="1" customWidth="1"/>
    <col min="15" max="15" width="27.109375" bestFit="1" customWidth="1"/>
    <col min="16" max="16" width="26.6640625" bestFit="1" customWidth="1"/>
    <col min="17" max="17" width="26.77734375" bestFit="1" customWidth="1"/>
    <col min="18" max="18" width="23.33203125" bestFit="1" customWidth="1"/>
    <col min="19" max="20" width="7.109375" bestFit="1" customWidth="1"/>
    <col min="21" max="21" width="5.44140625" bestFit="1" customWidth="1"/>
  </cols>
  <sheetData>
    <row r="1" spans="1:21" s="2" customFormat="1" ht="61.8" customHeight="1" thickBot="1" x14ac:dyDescent="0.35">
      <c r="A1" s="5" t="s">
        <v>0</v>
      </c>
      <c r="B1" s="5" t="s">
        <v>1</v>
      </c>
      <c r="C1" s="5" t="s">
        <v>2</v>
      </c>
      <c r="D1" s="6" t="s">
        <v>5</v>
      </c>
      <c r="E1" s="5" t="s">
        <v>8</v>
      </c>
      <c r="F1" s="5" t="s">
        <v>7</v>
      </c>
      <c r="G1" s="7" t="s">
        <v>6</v>
      </c>
      <c r="H1" s="5" t="s">
        <v>12</v>
      </c>
      <c r="I1" s="5" t="s">
        <v>9</v>
      </c>
      <c r="J1" s="5" t="s">
        <v>11</v>
      </c>
      <c r="K1" s="5"/>
      <c r="L1" s="5"/>
      <c r="M1" s="5"/>
      <c r="N1" s="5"/>
      <c r="O1" s="5"/>
    </row>
    <row r="2" spans="1:21" x14ac:dyDescent="0.3">
      <c r="A2" s="1">
        <v>42815</v>
      </c>
      <c r="B2" t="s">
        <v>20</v>
      </c>
      <c r="C2" t="s">
        <v>3</v>
      </c>
      <c r="D2" s="3">
        <v>300</v>
      </c>
      <c r="I2" t="s">
        <v>10</v>
      </c>
    </row>
    <row r="3" spans="1:21" x14ac:dyDescent="0.3">
      <c r="A3" s="1">
        <v>42872</v>
      </c>
      <c r="B3" t="s">
        <v>20</v>
      </c>
      <c r="C3" t="s">
        <v>4</v>
      </c>
      <c r="E3">
        <v>0</v>
      </c>
      <c r="F3">
        <v>0</v>
      </c>
      <c r="G3" s="4">
        <v>191</v>
      </c>
      <c r="I3" t="s">
        <v>10</v>
      </c>
      <c r="J3" t="s">
        <v>42</v>
      </c>
      <c r="N3" t="s">
        <v>79</v>
      </c>
    </row>
    <row r="4" spans="1:21" x14ac:dyDescent="0.3">
      <c r="A4" s="1">
        <v>42886</v>
      </c>
      <c r="B4" t="s">
        <v>20</v>
      </c>
      <c r="C4" t="s">
        <v>4</v>
      </c>
      <c r="G4" s="4">
        <v>151</v>
      </c>
      <c r="I4" t="s">
        <v>10</v>
      </c>
      <c r="J4" t="s">
        <v>43</v>
      </c>
      <c r="N4" s="47" t="s">
        <v>35</v>
      </c>
      <c r="O4" s="47"/>
      <c r="P4" s="47"/>
      <c r="Q4" s="47"/>
      <c r="R4" s="47"/>
      <c r="S4" s="47"/>
      <c r="T4" s="47"/>
      <c r="U4" s="47"/>
    </row>
    <row r="5" spans="1:21" x14ac:dyDescent="0.3">
      <c r="A5" s="1">
        <v>42899</v>
      </c>
      <c r="B5" t="s">
        <v>20</v>
      </c>
      <c r="C5" t="s">
        <v>4</v>
      </c>
      <c r="G5" s="4">
        <v>361</v>
      </c>
      <c r="I5" t="s">
        <v>10</v>
      </c>
      <c r="J5" t="s">
        <v>44</v>
      </c>
      <c r="N5" s="8" t="s">
        <v>36</v>
      </c>
      <c r="O5" s="8" t="s">
        <v>13</v>
      </c>
      <c r="P5" s="8" t="s">
        <v>37</v>
      </c>
      <c r="Q5" s="8" t="s">
        <v>22</v>
      </c>
      <c r="R5" s="8" t="s">
        <v>25</v>
      </c>
      <c r="S5" s="8" t="s">
        <v>27</v>
      </c>
      <c r="T5" s="8" t="s">
        <v>29</v>
      </c>
      <c r="U5" s="8" t="s">
        <v>38</v>
      </c>
    </row>
    <row r="6" spans="1:21" x14ac:dyDescent="0.3">
      <c r="A6" s="1">
        <v>42912</v>
      </c>
      <c r="B6" t="s">
        <v>20</v>
      </c>
      <c r="C6" t="s">
        <v>4</v>
      </c>
      <c r="G6" s="4">
        <v>96</v>
      </c>
      <c r="I6" t="s">
        <v>10</v>
      </c>
      <c r="J6" t="s">
        <v>45</v>
      </c>
      <c r="N6" s="10" t="s">
        <v>39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f>SUM(O6:T6)</f>
        <v>0</v>
      </c>
    </row>
    <row r="7" spans="1:21" x14ac:dyDescent="0.3">
      <c r="A7" s="1">
        <v>43067</v>
      </c>
      <c r="B7" t="s">
        <v>20</v>
      </c>
      <c r="C7" t="s">
        <v>4</v>
      </c>
      <c r="E7">
        <v>20</v>
      </c>
      <c r="G7" s="4">
        <v>1425</v>
      </c>
      <c r="I7" t="s">
        <v>10</v>
      </c>
      <c r="J7" t="s">
        <v>47</v>
      </c>
      <c r="N7" s="10" t="s">
        <v>40</v>
      </c>
      <c r="O7" s="11">
        <v>0</v>
      </c>
      <c r="P7" s="11">
        <v>87</v>
      </c>
      <c r="Q7" s="11">
        <v>0</v>
      </c>
      <c r="R7" s="11">
        <v>0</v>
      </c>
      <c r="S7" s="11">
        <v>0</v>
      </c>
      <c r="T7" s="11">
        <v>0</v>
      </c>
      <c r="U7" s="11">
        <f>SUM(O7:T7)</f>
        <v>87</v>
      </c>
    </row>
    <row r="8" spans="1:21" x14ac:dyDescent="0.3">
      <c r="A8" s="1">
        <v>43187</v>
      </c>
      <c r="B8" t="s">
        <v>20</v>
      </c>
      <c r="C8" t="s">
        <v>4</v>
      </c>
      <c r="E8">
        <v>3</v>
      </c>
      <c r="F8">
        <v>100</v>
      </c>
      <c r="G8" s="4">
        <v>474</v>
      </c>
      <c r="I8" t="s">
        <v>10</v>
      </c>
      <c r="J8" t="s">
        <v>48</v>
      </c>
      <c r="N8" s="10" t="s">
        <v>41</v>
      </c>
      <c r="O8" s="11">
        <v>0</v>
      </c>
      <c r="P8" s="11">
        <v>799</v>
      </c>
      <c r="Q8" s="11">
        <v>0</v>
      </c>
      <c r="R8" s="11">
        <v>0</v>
      </c>
      <c r="S8" s="11">
        <v>0</v>
      </c>
      <c r="T8" s="11">
        <v>0</v>
      </c>
      <c r="U8" s="11">
        <f>SUM(O8:T8)</f>
        <v>799</v>
      </c>
    </row>
    <row r="9" spans="1:21" x14ac:dyDescent="0.3">
      <c r="A9" s="1">
        <v>43236</v>
      </c>
      <c r="B9" t="s">
        <v>20</v>
      </c>
      <c r="C9" t="s">
        <v>4</v>
      </c>
      <c r="G9" s="4">
        <v>4</v>
      </c>
      <c r="I9" t="s">
        <v>10</v>
      </c>
      <c r="J9" t="s">
        <v>49</v>
      </c>
    </row>
    <row r="10" spans="1:21" x14ac:dyDescent="0.3">
      <c r="A10" s="1">
        <v>43265</v>
      </c>
      <c r="B10" t="s">
        <v>20</v>
      </c>
      <c r="C10" t="s">
        <v>4</v>
      </c>
      <c r="G10" s="4">
        <v>1</v>
      </c>
      <c r="I10" t="s">
        <v>10</v>
      </c>
      <c r="J10" t="s">
        <v>46</v>
      </c>
      <c r="N10" s="35" t="s">
        <v>14</v>
      </c>
      <c r="O10" s="36"/>
      <c r="P10" s="36"/>
      <c r="Q10" s="36"/>
      <c r="R10" s="37"/>
    </row>
    <row r="11" spans="1:21" x14ac:dyDescent="0.3">
      <c r="A11" s="1">
        <v>43461</v>
      </c>
      <c r="B11" t="s">
        <v>20</v>
      </c>
      <c r="C11" t="s">
        <v>4</v>
      </c>
      <c r="E11">
        <v>1</v>
      </c>
      <c r="F11">
        <v>64</v>
      </c>
      <c r="G11" s="4">
        <v>133</v>
      </c>
      <c r="I11" t="s">
        <v>10</v>
      </c>
      <c r="J11" t="s">
        <v>72</v>
      </c>
      <c r="N11" s="8" t="s">
        <v>15</v>
      </c>
      <c r="O11" s="8" t="s">
        <v>16</v>
      </c>
      <c r="P11" s="8" t="s">
        <v>17</v>
      </c>
      <c r="Q11" s="8" t="s">
        <v>18</v>
      </c>
      <c r="R11" s="8" t="s">
        <v>19</v>
      </c>
    </row>
    <row r="12" spans="1:21" x14ac:dyDescent="0.3">
      <c r="A12" s="1">
        <v>43605</v>
      </c>
      <c r="B12" t="s">
        <v>20</v>
      </c>
      <c r="C12" t="s">
        <v>4</v>
      </c>
      <c r="E12">
        <v>0</v>
      </c>
      <c r="F12">
        <v>100</v>
      </c>
      <c r="G12" s="4">
        <v>250</v>
      </c>
      <c r="I12" t="s">
        <v>10</v>
      </c>
      <c r="J12" t="s">
        <v>73</v>
      </c>
      <c r="N12" s="10" t="s">
        <v>13</v>
      </c>
      <c r="O12" s="11" t="s">
        <v>34</v>
      </c>
      <c r="P12" s="12">
        <v>425</v>
      </c>
      <c r="Q12" s="12">
        <v>516</v>
      </c>
      <c r="R12" s="12">
        <v>360</v>
      </c>
    </row>
    <row r="13" spans="1:21" x14ac:dyDescent="0.3">
      <c r="A13" s="1">
        <v>43817</v>
      </c>
      <c r="B13" t="s">
        <v>20</v>
      </c>
      <c r="C13" t="s">
        <v>4</v>
      </c>
      <c r="E13">
        <v>1</v>
      </c>
      <c r="F13">
        <v>146</v>
      </c>
      <c r="G13" s="4">
        <v>178</v>
      </c>
      <c r="I13" t="s">
        <v>10</v>
      </c>
      <c r="J13" t="s">
        <v>80</v>
      </c>
      <c r="N13" s="10" t="s">
        <v>20</v>
      </c>
      <c r="O13" s="11" t="s">
        <v>21</v>
      </c>
      <c r="P13" s="12">
        <v>272</v>
      </c>
      <c r="Q13" s="12">
        <v>330</v>
      </c>
      <c r="R13" s="12">
        <v>119</v>
      </c>
    </row>
    <row r="14" spans="1:21" x14ac:dyDescent="0.3">
      <c r="A14" s="1">
        <v>44264</v>
      </c>
      <c r="B14" t="s">
        <v>20</v>
      </c>
      <c r="C14" t="s">
        <v>4</v>
      </c>
      <c r="E14">
        <v>0</v>
      </c>
      <c r="F14">
        <v>36</v>
      </c>
      <c r="G14" s="4">
        <v>3</v>
      </c>
      <c r="I14" t="s">
        <v>10</v>
      </c>
      <c r="J14" t="s">
        <v>92</v>
      </c>
      <c r="N14" s="10" t="s">
        <v>22</v>
      </c>
      <c r="O14" s="11" t="s">
        <v>23</v>
      </c>
      <c r="P14" s="12">
        <v>425</v>
      </c>
      <c r="Q14" s="12">
        <v>507</v>
      </c>
      <c r="R14" s="12" t="s">
        <v>24</v>
      </c>
    </row>
    <row r="15" spans="1:21" x14ac:dyDescent="0.3">
      <c r="A15" s="1">
        <v>44567</v>
      </c>
      <c r="B15" t="s">
        <v>20</v>
      </c>
      <c r="C15" t="s">
        <v>4</v>
      </c>
      <c r="E15">
        <v>2</v>
      </c>
      <c r="F15">
        <v>110</v>
      </c>
      <c r="G15" s="4">
        <v>0</v>
      </c>
      <c r="I15" t="s">
        <v>10</v>
      </c>
      <c r="J15" t="s">
        <v>116</v>
      </c>
      <c r="N15" s="10" t="s">
        <v>25</v>
      </c>
      <c r="O15" s="11" t="s">
        <v>26</v>
      </c>
      <c r="P15" s="12">
        <v>425</v>
      </c>
      <c r="Q15" s="12">
        <v>515</v>
      </c>
      <c r="R15" s="12" t="s">
        <v>24</v>
      </c>
    </row>
    <row r="16" spans="1:21" x14ac:dyDescent="0.3">
      <c r="A16" s="1">
        <v>45272</v>
      </c>
      <c r="B16" t="s">
        <v>20</v>
      </c>
      <c r="C16" t="s">
        <v>4</v>
      </c>
      <c r="E16">
        <v>0</v>
      </c>
      <c r="F16">
        <v>0</v>
      </c>
      <c r="G16" s="4">
        <v>0</v>
      </c>
      <c r="I16" t="s">
        <v>10</v>
      </c>
      <c r="J16" t="s">
        <v>123</v>
      </c>
      <c r="N16" s="10"/>
      <c r="O16" s="11"/>
      <c r="P16" s="12"/>
      <c r="Q16" s="12"/>
      <c r="R16" s="12"/>
    </row>
    <row r="17" spans="1:30" x14ac:dyDescent="0.3">
      <c r="A17" s="1">
        <v>45028</v>
      </c>
      <c r="B17" t="s">
        <v>20</v>
      </c>
      <c r="C17" t="s">
        <v>3</v>
      </c>
      <c r="D17" s="3">
        <v>300</v>
      </c>
      <c r="I17" t="s">
        <v>10</v>
      </c>
      <c r="N17" s="10" t="s">
        <v>27</v>
      </c>
      <c r="O17" s="11" t="s">
        <v>28</v>
      </c>
      <c r="P17" s="12">
        <v>272</v>
      </c>
      <c r="Q17" s="12">
        <v>354</v>
      </c>
      <c r="R17" s="12">
        <v>196</v>
      </c>
    </row>
    <row r="18" spans="1:30" x14ac:dyDescent="0.3">
      <c r="A18" s="1">
        <v>45272</v>
      </c>
      <c r="B18" t="s">
        <v>20</v>
      </c>
      <c r="C18" t="s">
        <v>4</v>
      </c>
      <c r="E18">
        <v>81</v>
      </c>
      <c r="F18">
        <v>300</v>
      </c>
      <c r="G18" s="4">
        <v>106</v>
      </c>
      <c r="H18">
        <v>6</v>
      </c>
      <c r="I18" t="s">
        <v>10</v>
      </c>
      <c r="J18" t="s">
        <v>145</v>
      </c>
      <c r="N18" s="10" t="s">
        <v>29</v>
      </c>
      <c r="O18" s="11" t="s">
        <v>30</v>
      </c>
      <c r="P18" s="12">
        <v>272</v>
      </c>
      <c r="Q18" s="12">
        <v>333</v>
      </c>
      <c r="R18" s="12">
        <v>220</v>
      </c>
    </row>
    <row r="19" spans="1:30" x14ac:dyDescent="0.3">
      <c r="A19" s="1">
        <v>45644</v>
      </c>
      <c r="B19" t="s">
        <v>20</v>
      </c>
      <c r="C19" t="s">
        <v>4</v>
      </c>
      <c r="E19">
        <v>22</v>
      </c>
      <c r="F19">
        <v>338</v>
      </c>
      <c r="G19" s="4">
        <v>0</v>
      </c>
      <c r="H19">
        <v>2</v>
      </c>
      <c r="J19" t="s">
        <v>154</v>
      </c>
    </row>
    <row r="20" spans="1:30" x14ac:dyDescent="0.3">
      <c r="A20" s="1"/>
      <c r="N20" s="35" t="s">
        <v>55</v>
      </c>
      <c r="O20" s="36"/>
      <c r="P20" s="36"/>
      <c r="Q20" s="36"/>
      <c r="R20" s="37"/>
      <c r="X20" s="48" t="s">
        <v>62</v>
      </c>
      <c r="Y20" s="48"/>
      <c r="Z20" s="48"/>
      <c r="AA20" s="48"/>
      <c r="AB20" s="48"/>
      <c r="AC20" s="48"/>
      <c r="AD20" s="48"/>
    </row>
    <row r="21" spans="1:30" x14ac:dyDescent="0.3">
      <c r="A21" s="1"/>
      <c r="N21" s="8" t="s">
        <v>15</v>
      </c>
      <c r="O21" s="8" t="s">
        <v>16</v>
      </c>
      <c r="P21" s="8" t="s">
        <v>17</v>
      </c>
      <c r="Q21" s="8" t="s">
        <v>18</v>
      </c>
      <c r="R21" s="8" t="s">
        <v>19</v>
      </c>
      <c r="X21" s="8" t="s">
        <v>36</v>
      </c>
      <c r="Y21" s="8" t="s">
        <v>13</v>
      </c>
      <c r="Z21" s="8" t="s">
        <v>37</v>
      </c>
      <c r="AA21" s="8" t="s">
        <v>22</v>
      </c>
      <c r="AB21" s="8" t="s">
        <v>25</v>
      </c>
      <c r="AC21" s="8" t="s">
        <v>27</v>
      </c>
      <c r="AD21" s="8" t="s">
        <v>29</v>
      </c>
    </row>
    <row r="22" spans="1:30" x14ac:dyDescent="0.3">
      <c r="A22" s="1"/>
      <c r="N22" s="10" t="s">
        <v>13</v>
      </c>
      <c r="O22" s="11" t="s">
        <v>56</v>
      </c>
      <c r="P22" s="12">
        <v>425</v>
      </c>
      <c r="Q22" s="12">
        <v>535</v>
      </c>
      <c r="R22" s="12">
        <v>261</v>
      </c>
      <c r="X22" s="10" t="s">
        <v>63</v>
      </c>
      <c r="Y22" s="12" t="s">
        <v>24</v>
      </c>
      <c r="Z22" s="12" t="s">
        <v>24</v>
      </c>
      <c r="AA22" s="12" t="s">
        <v>24</v>
      </c>
      <c r="AB22" s="12" t="s">
        <v>24</v>
      </c>
      <c r="AC22" s="12" t="s">
        <v>24</v>
      </c>
      <c r="AD22" s="12" t="s">
        <v>24</v>
      </c>
    </row>
    <row r="23" spans="1:30" x14ac:dyDescent="0.3">
      <c r="A23" s="1"/>
      <c r="N23" s="10" t="s">
        <v>20</v>
      </c>
      <c r="O23" s="11" t="s">
        <v>57</v>
      </c>
      <c r="P23" s="12">
        <v>274</v>
      </c>
      <c r="Q23" s="12">
        <v>356</v>
      </c>
      <c r="R23" s="12">
        <v>130</v>
      </c>
      <c r="X23" s="10" t="s">
        <v>40</v>
      </c>
      <c r="Y23" s="12">
        <v>42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</row>
    <row r="24" spans="1:30" x14ac:dyDescent="0.3">
      <c r="A24" s="1"/>
      <c r="N24" s="10" t="s">
        <v>22</v>
      </c>
      <c r="O24" s="11" t="s">
        <v>58</v>
      </c>
      <c r="P24" s="12">
        <v>425</v>
      </c>
      <c r="Q24" s="12">
        <v>540</v>
      </c>
      <c r="R24" s="12">
        <v>319</v>
      </c>
      <c r="X24" s="10" t="s">
        <v>41</v>
      </c>
      <c r="Y24" s="12">
        <v>0</v>
      </c>
      <c r="Z24" s="12" t="s">
        <v>24</v>
      </c>
      <c r="AA24" s="12" t="s">
        <v>24</v>
      </c>
      <c r="AB24" s="12" t="s">
        <v>24</v>
      </c>
      <c r="AC24" s="12">
        <v>0</v>
      </c>
      <c r="AD24" s="12">
        <v>0</v>
      </c>
    </row>
    <row r="25" spans="1:30" x14ac:dyDescent="0.3">
      <c r="A25" s="1"/>
      <c r="N25" s="10" t="s">
        <v>25</v>
      </c>
      <c r="O25" s="11" t="s">
        <v>59</v>
      </c>
      <c r="P25" s="12">
        <v>425</v>
      </c>
      <c r="Q25" s="12">
        <v>528</v>
      </c>
      <c r="R25" s="12" t="s">
        <v>24</v>
      </c>
      <c r="X25" s="10" t="s">
        <v>64</v>
      </c>
      <c r="Y25" s="12">
        <v>116</v>
      </c>
      <c r="Z25" s="12">
        <v>540</v>
      </c>
      <c r="AA25" s="12">
        <v>2</v>
      </c>
      <c r="AB25" s="12">
        <v>2</v>
      </c>
      <c r="AC25" s="12">
        <v>11</v>
      </c>
      <c r="AD25" s="12">
        <v>3</v>
      </c>
    </row>
    <row r="26" spans="1:30" x14ac:dyDescent="0.3">
      <c r="A26" s="1"/>
      <c r="N26" s="10" t="s">
        <v>27</v>
      </c>
      <c r="O26" s="11" t="s">
        <v>60</v>
      </c>
      <c r="P26" s="12">
        <v>272</v>
      </c>
      <c r="Q26" s="12">
        <v>427</v>
      </c>
      <c r="R26" s="12">
        <v>301</v>
      </c>
      <c r="X26" s="10" t="s">
        <v>65</v>
      </c>
      <c r="Y26" s="12">
        <v>25</v>
      </c>
      <c r="Z26" s="12">
        <v>8</v>
      </c>
      <c r="AA26" s="12">
        <v>6</v>
      </c>
      <c r="AB26" s="12">
        <v>15</v>
      </c>
      <c r="AC26" s="12">
        <v>24</v>
      </c>
      <c r="AD26" s="12">
        <v>9</v>
      </c>
    </row>
    <row r="27" spans="1:30" x14ac:dyDescent="0.3">
      <c r="A27" s="1"/>
      <c r="N27" s="10" t="s">
        <v>29</v>
      </c>
      <c r="O27" s="11" t="s">
        <v>61</v>
      </c>
      <c r="P27" s="12" t="s">
        <v>24</v>
      </c>
      <c r="Q27" s="12" t="s">
        <v>24</v>
      </c>
      <c r="R27" s="12">
        <v>207</v>
      </c>
      <c r="X27" s="10" t="s">
        <v>66</v>
      </c>
      <c r="Y27" s="12" t="s">
        <v>24</v>
      </c>
      <c r="Z27" s="12" t="s">
        <v>24</v>
      </c>
      <c r="AA27" s="12" t="s">
        <v>24</v>
      </c>
      <c r="AB27" s="12" t="s">
        <v>24</v>
      </c>
      <c r="AC27" s="12" t="s">
        <v>24</v>
      </c>
      <c r="AD27" s="12" t="s">
        <v>24</v>
      </c>
    </row>
    <row r="28" spans="1:30" x14ac:dyDescent="0.3">
      <c r="A28" s="1"/>
    </row>
    <row r="29" spans="1:30" ht="17.399999999999999" x14ac:dyDescent="0.3">
      <c r="A29" s="1"/>
      <c r="N29" s="34" t="s">
        <v>78</v>
      </c>
      <c r="O29" s="34"/>
      <c r="P29" s="34"/>
      <c r="Q29" s="34"/>
      <c r="R29" s="34"/>
      <c r="S29" s="34"/>
      <c r="T29" s="34"/>
    </row>
    <row r="30" spans="1:30" x14ac:dyDescent="0.3">
      <c r="A30" s="1"/>
      <c r="N30" s="13" t="s">
        <v>36</v>
      </c>
      <c r="O30" s="13" t="s">
        <v>13</v>
      </c>
      <c r="P30" s="13" t="s">
        <v>37</v>
      </c>
      <c r="Q30" s="13" t="s">
        <v>22</v>
      </c>
      <c r="R30" s="13" t="s">
        <v>25</v>
      </c>
      <c r="S30" s="13" t="s">
        <v>27</v>
      </c>
      <c r="T30" s="13" t="s">
        <v>29</v>
      </c>
    </row>
    <row r="31" spans="1:30" x14ac:dyDescent="0.3">
      <c r="A31" s="1"/>
      <c r="N31" s="14" t="s">
        <v>63</v>
      </c>
      <c r="O31" s="15" t="s">
        <v>24</v>
      </c>
      <c r="P31" s="15" t="s">
        <v>24</v>
      </c>
      <c r="Q31" s="15" t="s">
        <v>24</v>
      </c>
      <c r="R31" s="15" t="s">
        <v>24</v>
      </c>
      <c r="S31" s="15" t="s">
        <v>24</v>
      </c>
      <c r="T31" s="15" t="s">
        <v>24</v>
      </c>
    </row>
    <row r="32" spans="1:30" x14ac:dyDescent="0.3">
      <c r="A32" s="1"/>
      <c r="N32" s="14" t="s">
        <v>40</v>
      </c>
      <c r="O32" s="15">
        <v>120</v>
      </c>
      <c r="P32" s="15" t="s">
        <v>24</v>
      </c>
      <c r="Q32" s="15">
        <v>0</v>
      </c>
      <c r="R32" s="15">
        <v>0</v>
      </c>
      <c r="S32" s="15" t="s">
        <v>24</v>
      </c>
      <c r="T32" s="15">
        <v>0</v>
      </c>
    </row>
    <row r="33" spans="1:30" x14ac:dyDescent="0.3">
      <c r="A33" s="1"/>
      <c r="N33" s="14" t="s">
        <v>41</v>
      </c>
      <c r="O33" s="15" t="s">
        <v>24</v>
      </c>
      <c r="P33" s="15" t="s">
        <v>24</v>
      </c>
      <c r="Q33" s="15" t="s">
        <v>24</v>
      </c>
      <c r="R33" s="15" t="s">
        <v>24</v>
      </c>
      <c r="S33" s="15">
        <v>0</v>
      </c>
      <c r="T33" s="15">
        <v>0</v>
      </c>
    </row>
    <row r="34" spans="1:30" x14ac:dyDescent="0.3">
      <c r="N34" s="14" t="s">
        <v>64</v>
      </c>
      <c r="O34" s="15">
        <v>7</v>
      </c>
      <c r="P34" s="15">
        <v>242</v>
      </c>
      <c r="Q34" s="15">
        <v>1</v>
      </c>
      <c r="R34" s="15">
        <v>0</v>
      </c>
      <c r="S34" s="15">
        <v>24</v>
      </c>
      <c r="T34" s="15">
        <v>5</v>
      </c>
    </row>
    <row r="35" spans="1:30" x14ac:dyDescent="0.3">
      <c r="N35" s="14" t="s">
        <v>65</v>
      </c>
      <c r="O35" s="15">
        <v>37</v>
      </c>
      <c r="P35" s="15">
        <v>77</v>
      </c>
      <c r="Q35" s="15">
        <v>7</v>
      </c>
      <c r="R35" s="15">
        <v>15</v>
      </c>
      <c r="S35" s="15">
        <v>94</v>
      </c>
      <c r="T35" s="15">
        <v>79</v>
      </c>
    </row>
    <row r="36" spans="1:30" x14ac:dyDescent="0.3">
      <c r="N36" s="14" t="s">
        <v>66</v>
      </c>
      <c r="O36" s="15" t="s">
        <v>24</v>
      </c>
      <c r="P36" s="15" t="s">
        <v>24</v>
      </c>
      <c r="Q36" s="15" t="s">
        <v>24</v>
      </c>
      <c r="R36" s="15" t="s">
        <v>24</v>
      </c>
      <c r="S36" s="15" t="s">
        <v>24</v>
      </c>
      <c r="T36" s="15" t="s">
        <v>24</v>
      </c>
    </row>
    <row r="38" spans="1:30" ht="17.399999999999999" x14ac:dyDescent="0.3">
      <c r="N38" s="31" t="s">
        <v>85</v>
      </c>
      <c r="O38" s="32"/>
      <c r="P38" s="32"/>
      <c r="Q38" s="32"/>
      <c r="R38" s="33"/>
      <c r="X38" s="34" t="s">
        <v>84</v>
      </c>
      <c r="Y38" s="34"/>
      <c r="Z38" s="34"/>
      <c r="AA38" s="34"/>
      <c r="AB38" s="34"/>
      <c r="AC38" s="34"/>
      <c r="AD38" s="34"/>
    </row>
    <row r="39" spans="1:30" ht="26.4" x14ac:dyDescent="0.3">
      <c r="N39" s="8" t="s">
        <v>15</v>
      </c>
      <c r="O39" s="9" t="s">
        <v>16</v>
      </c>
      <c r="P39" s="9" t="s">
        <v>17</v>
      </c>
      <c r="Q39" s="9" t="s">
        <v>18</v>
      </c>
      <c r="R39" s="9" t="s">
        <v>19</v>
      </c>
      <c r="X39" s="13" t="s">
        <v>36</v>
      </c>
      <c r="Y39" s="13" t="s">
        <v>13</v>
      </c>
      <c r="Z39" s="13" t="s">
        <v>37</v>
      </c>
      <c r="AA39" s="13" t="s">
        <v>22</v>
      </c>
      <c r="AB39" s="13" t="s">
        <v>25</v>
      </c>
      <c r="AC39" s="13" t="s">
        <v>27</v>
      </c>
      <c r="AD39" s="13" t="s">
        <v>29</v>
      </c>
    </row>
    <row r="40" spans="1:30" x14ac:dyDescent="0.3">
      <c r="N40" s="14" t="s">
        <v>13</v>
      </c>
      <c r="O40" s="16" t="s">
        <v>86</v>
      </c>
      <c r="P40" s="15">
        <v>435</v>
      </c>
      <c r="Q40" s="15">
        <v>538</v>
      </c>
      <c r="R40" s="15">
        <v>256</v>
      </c>
      <c r="X40" s="14" t="s">
        <v>63</v>
      </c>
      <c r="Y40" s="15" t="s">
        <v>24</v>
      </c>
      <c r="Z40" s="15" t="s">
        <v>24</v>
      </c>
      <c r="AA40" s="15" t="s">
        <v>24</v>
      </c>
      <c r="AB40" s="15" t="s">
        <v>24</v>
      </c>
      <c r="AC40" s="15" t="s">
        <v>24</v>
      </c>
      <c r="AD40" s="15" t="s">
        <v>24</v>
      </c>
    </row>
    <row r="41" spans="1:30" x14ac:dyDescent="0.3">
      <c r="N41" s="14" t="s">
        <v>20</v>
      </c>
      <c r="O41" s="16" t="s">
        <v>87</v>
      </c>
      <c r="P41" s="15" t="s">
        <v>24</v>
      </c>
      <c r="Q41" s="15" t="s">
        <v>24</v>
      </c>
      <c r="R41" s="15">
        <v>175</v>
      </c>
      <c r="X41" s="14" t="s">
        <v>40</v>
      </c>
      <c r="Y41" s="15">
        <v>19</v>
      </c>
      <c r="Z41" s="15" t="s">
        <v>24</v>
      </c>
      <c r="AA41" s="15">
        <v>1</v>
      </c>
      <c r="AB41" s="15">
        <v>0</v>
      </c>
      <c r="AC41" s="15" t="s">
        <v>24</v>
      </c>
      <c r="AD41" s="15" t="s">
        <v>24</v>
      </c>
    </row>
    <row r="42" spans="1:30" x14ac:dyDescent="0.3">
      <c r="N42" s="14" t="s">
        <v>22</v>
      </c>
      <c r="O42" s="16" t="s">
        <v>88</v>
      </c>
      <c r="P42" s="15">
        <v>428</v>
      </c>
      <c r="Q42" s="15">
        <v>561</v>
      </c>
      <c r="R42" s="15">
        <v>319</v>
      </c>
      <c r="X42" s="14" t="s">
        <v>41</v>
      </c>
      <c r="Y42" s="15" t="s">
        <v>24</v>
      </c>
      <c r="Z42" s="15" t="s">
        <v>24</v>
      </c>
      <c r="AA42" s="15" t="s">
        <v>24</v>
      </c>
      <c r="AB42" s="15" t="s">
        <v>24</v>
      </c>
      <c r="AC42" s="15" t="s">
        <v>24</v>
      </c>
      <c r="AD42" s="15">
        <v>0</v>
      </c>
    </row>
    <row r="43" spans="1:30" x14ac:dyDescent="0.3">
      <c r="N43" s="14" t="s">
        <v>25</v>
      </c>
      <c r="O43" s="16" t="s">
        <v>89</v>
      </c>
      <c r="P43" s="15">
        <v>425</v>
      </c>
      <c r="Q43" s="15">
        <v>562</v>
      </c>
      <c r="R43" s="15">
        <v>564</v>
      </c>
      <c r="X43" s="14" t="s">
        <v>64</v>
      </c>
      <c r="Y43" s="15">
        <v>35</v>
      </c>
      <c r="Z43" s="15">
        <v>20</v>
      </c>
      <c r="AA43" s="15">
        <v>0</v>
      </c>
      <c r="AB43" s="15">
        <v>0</v>
      </c>
      <c r="AC43" s="15">
        <v>0</v>
      </c>
      <c r="AD43" s="15">
        <v>21</v>
      </c>
    </row>
    <row r="44" spans="1:30" x14ac:dyDescent="0.3">
      <c r="N44" s="14" t="s">
        <v>27</v>
      </c>
      <c r="O44" s="16">
        <v>0</v>
      </c>
      <c r="P44" s="15" t="s">
        <v>24</v>
      </c>
      <c r="Q44" s="15" t="s">
        <v>24</v>
      </c>
      <c r="R44" s="15" t="s">
        <v>24</v>
      </c>
      <c r="X44" s="14" t="s">
        <v>65</v>
      </c>
      <c r="Y44" s="15">
        <v>48</v>
      </c>
      <c r="Z44" s="15">
        <v>18</v>
      </c>
      <c r="AA44" s="15">
        <v>19</v>
      </c>
      <c r="AB44" s="15">
        <v>10</v>
      </c>
      <c r="AC44" s="15">
        <v>0</v>
      </c>
      <c r="AD44" s="15">
        <v>69</v>
      </c>
    </row>
    <row r="45" spans="1:30" x14ac:dyDescent="0.3">
      <c r="N45" s="14" t="s">
        <v>29</v>
      </c>
      <c r="O45" s="16" t="s">
        <v>90</v>
      </c>
      <c r="P45" s="15">
        <v>268</v>
      </c>
      <c r="Q45" s="15">
        <v>403</v>
      </c>
      <c r="R45" s="15">
        <v>244</v>
      </c>
      <c r="X45" s="14" t="s">
        <v>66</v>
      </c>
      <c r="Y45" s="15" t="s">
        <v>24</v>
      </c>
      <c r="Z45" s="15" t="s">
        <v>24</v>
      </c>
      <c r="AA45" s="15" t="s">
        <v>24</v>
      </c>
      <c r="AB45" s="15" t="s">
        <v>24</v>
      </c>
      <c r="AC45" s="15" t="s">
        <v>24</v>
      </c>
      <c r="AD45" s="15" t="s">
        <v>24</v>
      </c>
    </row>
    <row r="47" spans="1:30" x14ac:dyDescent="0.3">
      <c r="N47" s="35" t="s">
        <v>108</v>
      </c>
      <c r="O47" s="36"/>
      <c r="P47" s="36"/>
      <c r="Q47" s="36"/>
      <c r="R47" s="37"/>
    </row>
    <row r="48" spans="1:30" ht="26.4" x14ac:dyDescent="0.3">
      <c r="N48" s="8" t="s">
        <v>15</v>
      </c>
      <c r="O48" s="9" t="s">
        <v>16</v>
      </c>
      <c r="P48" s="9" t="s">
        <v>17</v>
      </c>
      <c r="Q48" s="9" t="s">
        <v>18</v>
      </c>
      <c r="R48" s="9" t="s">
        <v>19</v>
      </c>
    </row>
    <row r="49" spans="14:18" x14ac:dyDescent="0.3">
      <c r="N49" s="10" t="s">
        <v>13</v>
      </c>
      <c r="O49" s="11" t="s">
        <v>109</v>
      </c>
      <c r="P49" s="12">
        <v>441</v>
      </c>
      <c r="Q49" s="12">
        <v>549</v>
      </c>
      <c r="R49" s="12">
        <v>282</v>
      </c>
    </row>
    <row r="50" spans="14:18" x14ac:dyDescent="0.3">
      <c r="N50" s="10" t="s">
        <v>20</v>
      </c>
      <c r="O50" s="11" t="s">
        <v>110</v>
      </c>
      <c r="P50" s="12" t="s">
        <v>24</v>
      </c>
      <c r="Q50" s="12" t="s">
        <v>24</v>
      </c>
      <c r="R50" s="12">
        <v>226</v>
      </c>
    </row>
    <row r="51" spans="14:18" x14ac:dyDescent="0.3">
      <c r="N51" s="10" t="s">
        <v>22</v>
      </c>
      <c r="O51" s="11" t="s">
        <v>111</v>
      </c>
      <c r="P51" s="12">
        <v>428</v>
      </c>
      <c r="Q51" s="12">
        <v>555</v>
      </c>
      <c r="R51" s="12">
        <v>456</v>
      </c>
    </row>
    <row r="52" spans="14:18" x14ac:dyDescent="0.3">
      <c r="N52" s="10" t="s">
        <v>25</v>
      </c>
      <c r="O52" s="11" t="s">
        <v>112</v>
      </c>
      <c r="P52" s="12">
        <v>441</v>
      </c>
      <c r="Q52" s="12">
        <v>561</v>
      </c>
      <c r="R52" s="12">
        <v>483</v>
      </c>
    </row>
    <row r="53" spans="14:18" x14ac:dyDescent="0.3">
      <c r="N53" s="10" t="s">
        <v>27</v>
      </c>
      <c r="O53" s="11">
        <v>0</v>
      </c>
      <c r="P53" s="12" t="s">
        <v>24</v>
      </c>
      <c r="Q53" s="12" t="s">
        <v>24</v>
      </c>
      <c r="R53" s="12" t="s">
        <v>24</v>
      </c>
    </row>
    <row r="54" spans="14:18" x14ac:dyDescent="0.3">
      <c r="N54" s="10" t="s">
        <v>29</v>
      </c>
      <c r="O54" s="11" t="s">
        <v>113</v>
      </c>
      <c r="P54" s="12">
        <v>259</v>
      </c>
      <c r="Q54" s="12">
        <v>417</v>
      </c>
      <c r="R54" s="12">
        <v>289</v>
      </c>
    </row>
    <row r="55" spans="14:18" x14ac:dyDescent="0.3">
      <c r="N55" s="14" t="s">
        <v>29</v>
      </c>
      <c r="O55" s="16" t="s">
        <v>107</v>
      </c>
      <c r="P55" s="15">
        <v>265</v>
      </c>
      <c r="Q55" s="15">
        <v>387</v>
      </c>
      <c r="R55" s="15">
        <v>305</v>
      </c>
    </row>
    <row r="57" spans="14:18" ht="17.399999999999999" x14ac:dyDescent="0.3">
      <c r="N57" s="38" t="s">
        <v>97</v>
      </c>
      <c r="O57" s="39"/>
      <c r="P57" s="39"/>
      <c r="Q57" s="39"/>
      <c r="R57" s="40"/>
    </row>
    <row r="58" spans="14:18" x14ac:dyDescent="0.3">
      <c r="N58" s="17"/>
      <c r="O58" s="18"/>
      <c r="P58" s="18"/>
      <c r="Q58" s="18"/>
      <c r="R58" s="19"/>
    </row>
    <row r="59" spans="14:18" ht="26.4" x14ac:dyDescent="0.3">
      <c r="N59" s="20" t="s">
        <v>15</v>
      </c>
      <c r="O59" s="21" t="s">
        <v>16</v>
      </c>
      <c r="P59" s="21" t="s">
        <v>98</v>
      </c>
      <c r="Q59" s="21" t="s">
        <v>99</v>
      </c>
      <c r="R59" s="21" t="s">
        <v>19</v>
      </c>
    </row>
    <row r="60" spans="14:18" x14ac:dyDescent="0.3">
      <c r="N60" s="14" t="s">
        <v>13</v>
      </c>
      <c r="O60" s="16" t="s">
        <v>100</v>
      </c>
      <c r="P60" s="15" t="s">
        <v>24</v>
      </c>
      <c r="Q60" s="15" t="s">
        <v>24</v>
      </c>
      <c r="R60" s="15">
        <v>276</v>
      </c>
    </row>
    <row r="61" spans="14:18" x14ac:dyDescent="0.3">
      <c r="N61" s="14" t="s">
        <v>20</v>
      </c>
      <c r="O61" s="16">
        <v>0</v>
      </c>
      <c r="P61" s="15" t="s">
        <v>24</v>
      </c>
      <c r="Q61" s="15" t="s">
        <v>24</v>
      </c>
      <c r="R61" s="15" t="s">
        <v>24</v>
      </c>
    </row>
    <row r="62" spans="14:18" x14ac:dyDescent="0.3">
      <c r="N62" s="14" t="s">
        <v>22</v>
      </c>
      <c r="O62" s="16" t="s">
        <v>101</v>
      </c>
      <c r="P62" s="15">
        <v>441</v>
      </c>
      <c r="Q62" s="15">
        <v>581</v>
      </c>
      <c r="R62" s="15" t="s">
        <v>24</v>
      </c>
    </row>
    <row r="63" spans="14:18" x14ac:dyDescent="0.3">
      <c r="N63" s="14" t="s">
        <v>25</v>
      </c>
      <c r="O63" s="16" t="s">
        <v>102</v>
      </c>
      <c r="P63" s="15" t="s">
        <v>24</v>
      </c>
      <c r="Q63" s="15" t="s">
        <v>24</v>
      </c>
      <c r="R63" s="15">
        <v>457</v>
      </c>
    </row>
    <row r="64" spans="14:18" x14ac:dyDescent="0.3">
      <c r="N64" s="14" t="s">
        <v>27</v>
      </c>
      <c r="O64" s="16" t="s">
        <v>103</v>
      </c>
      <c r="P64" s="15" t="s">
        <v>104</v>
      </c>
      <c r="Q64" s="15" t="s">
        <v>105</v>
      </c>
      <c r="R64" s="15" t="s">
        <v>106</v>
      </c>
    </row>
    <row r="65" spans="14:18" x14ac:dyDescent="0.3">
      <c r="N65" s="14" t="s">
        <v>29</v>
      </c>
      <c r="O65" s="16" t="s">
        <v>107</v>
      </c>
      <c r="P65" s="15">
        <v>265</v>
      </c>
      <c r="Q65" s="15">
        <v>387</v>
      </c>
      <c r="R65" s="15">
        <v>305</v>
      </c>
    </row>
    <row r="67" spans="14:18" x14ac:dyDescent="0.3">
      <c r="N67" s="41" t="s">
        <v>126</v>
      </c>
      <c r="O67" s="42"/>
      <c r="P67" s="42"/>
      <c r="Q67" s="43"/>
    </row>
    <row r="68" spans="14:18" x14ac:dyDescent="0.3">
      <c r="N68" s="44"/>
      <c r="O68" s="45"/>
      <c r="P68" s="45"/>
      <c r="Q68" s="46"/>
    </row>
    <row r="69" spans="14:18" ht="39.6" x14ac:dyDescent="0.3">
      <c r="N69" s="20" t="s">
        <v>15</v>
      </c>
      <c r="O69" s="21" t="s">
        <v>127</v>
      </c>
      <c r="P69" s="21" t="s">
        <v>128</v>
      </c>
      <c r="Q69" s="21" t="s">
        <v>129</v>
      </c>
    </row>
    <row r="70" spans="14:18" x14ac:dyDescent="0.3">
      <c r="N70" s="14" t="s">
        <v>13</v>
      </c>
      <c r="O70" s="16" t="s">
        <v>130</v>
      </c>
      <c r="P70" s="15">
        <v>51</v>
      </c>
      <c r="Q70" s="15" t="s">
        <v>131</v>
      </c>
    </row>
    <row r="71" spans="14:18" x14ac:dyDescent="0.3">
      <c r="N71" s="14" t="s">
        <v>22</v>
      </c>
      <c r="O71" s="16" t="s">
        <v>132</v>
      </c>
      <c r="P71" s="15">
        <v>1</v>
      </c>
      <c r="Q71" s="15" t="s">
        <v>133</v>
      </c>
    </row>
    <row r="72" spans="14:18" ht="15" thickBot="1" x14ac:dyDescent="0.35">
      <c r="N72" s="24" t="s">
        <v>25</v>
      </c>
      <c r="O72" s="25" t="s">
        <v>134</v>
      </c>
      <c r="P72" s="26">
        <v>3</v>
      </c>
      <c r="Q72" s="26" t="s">
        <v>132</v>
      </c>
    </row>
    <row r="73" spans="14:18" x14ac:dyDescent="0.3">
      <c r="N73" s="27"/>
      <c r="O73" s="28" t="s">
        <v>135</v>
      </c>
      <c r="P73" s="29">
        <v>0.84615384615384615</v>
      </c>
      <c r="Q73" s="30">
        <v>0.15384615384615385</v>
      </c>
    </row>
    <row r="75" spans="14:18" x14ac:dyDescent="0.3">
      <c r="N75" s="41" t="s">
        <v>136</v>
      </c>
      <c r="O75" s="42"/>
      <c r="P75" s="42"/>
      <c r="Q75" s="43"/>
    </row>
    <row r="76" spans="14:18" x14ac:dyDescent="0.3">
      <c r="N76" s="44"/>
      <c r="O76" s="45"/>
      <c r="P76" s="45"/>
      <c r="Q76" s="46"/>
    </row>
    <row r="77" spans="14:18" ht="39.6" x14ac:dyDescent="0.3">
      <c r="N77" s="20" t="s">
        <v>15</v>
      </c>
      <c r="O77" s="21" t="s">
        <v>127</v>
      </c>
      <c r="P77" s="21" t="s">
        <v>128</v>
      </c>
      <c r="Q77" s="21" t="s">
        <v>129</v>
      </c>
    </row>
    <row r="78" spans="14:18" x14ac:dyDescent="0.3">
      <c r="N78" s="14" t="s">
        <v>20</v>
      </c>
      <c r="O78" s="16" t="s">
        <v>137</v>
      </c>
      <c r="P78" s="15">
        <v>412</v>
      </c>
      <c r="Q78" s="15" t="s">
        <v>138</v>
      </c>
    </row>
    <row r="79" spans="14:18" x14ac:dyDescent="0.3">
      <c r="N79" s="14" t="s">
        <v>27</v>
      </c>
      <c r="O79" s="16" t="s">
        <v>139</v>
      </c>
      <c r="P79" s="15">
        <v>8</v>
      </c>
      <c r="Q79" s="15" t="s">
        <v>140</v>
      </c>
    </row>
    <row r="80" spans="14:18" x14ac:dyDescent="0.3">
      <c r="N80" s="14" t="s">
        <v>29</v>
      </c>
      <c r="O80" s="16" t="s">
        <v>100</v>
      </c>
      <c r="P80" s="15">
        <v>47</v>
      </c>
      <c r="Q80" s="15" t="s">
        <v>141</v>
      </c>
    </row>
    <row r="81" spans="14:17" x14ac:dyDescent="0.3">
      <c r="N81" s="27"/>
      <c r="O81" s="28" t="s">
        <v>142</v>
      </c>
      <c r="P81" s="29">
        <v>0.71846153846153848</v>
      </c>
      <c r="Q81" s="30">
        <v>0.28153846153846152</v>
      </c>
    </row>
  </sheetData>
  <mergeCells count="11">
    <mergeCell ref="N4:U4"/>
    <mergeCell ref="N10:R10"/>
    <mergeCell ref="N20:R20"/>
    <mergeCell ref="N67:Q68"/>
    <mergeCell ref="N75:Q76"/>
    <mergeCell ref="X20:AD20"/>
    <mergeCell ref="N29:T29"/>
    <mergeCell ref="N38:R38"/>
    <mergeCell ref="X38:AD38"/>
    <mergeCell ref="N47:R47"/>
    <mergeCell ref="N57:R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556A-020A-4958-A4B7-DAD5A43F517C}">
  <dimension ref="A1:AC80"/>
  <sheetViews>
    <sheetView workbookViewId="0">
      <selection activeCell="J18" sqref="J18"/>
    </sheetView>
  </sheetViews>
  <sheetFormatPr defaultRowHeight="14.4" x14ac:dyDescent="0.3"/>
  <cols>
    <col min="1" max="1" width="10.33203125" bestFit="1" customWidth="1"/>
    <col min="2" max="2" width="8.6640625" bestFit="1" customWidth="1"/>
    <col min="3" max="3" width="7.6640625" bestFit="1" customWidth="1"/>
    <col min="4" max="4" width="7.88671875" style="3" bestFit="1" customWidth="1"/>
    <col min="5" max="5" width="9.44140625" customWidth="1"/>
    <col min="6" max="6" width="8.109375" customWidth="1"/>
    <col min="7" max="7" width="9.109375" style="4" customWidth="1"/>
    <col min="8" max="8" width="6.44140625" customWidth="1"/>
    <col min="9" max="9" width="5" customWidth="1"/>
    <col min="10" max="10" width="99.6640625" bestFit="1" customWidth="1"/>
    <col min="13" max="13" width="12.33203125" bestFit="1" customWidth="1"/>
    <col min="14" max="14" width="27.109375" bestFit="1" customWidth="1"/>
    <col min="15" max="15" width="26.6640625" bestFit="1" customWidth="1"/>
    <col min="16" max="16" width="26.77734375" bestFit="1" customWidth="1"/>
    <col min="17" max="17" width="23.33203125" bestFit="1" customWidth="1"/>
    <col min="18" max="19" width="7.109375" bestFit="1" customWidth="1"/>
    <col min="20" max="20" width="5.44140625" bestFit="1" customWidth="1"/>
  </cols>
  <sheetData>
    <row r="1" spans="1:20" s="2" customFormat="1" ht="61.8" customHeight="1" thickBot="1" x14ac:dyDescent="0.35">
      <c r="A1" s="5" t="s">
        <v>0</v>
      </c>
      <c r="B1" s="5" t="s">
        <v>1</v>
      </c>
      <c r="C1" s="5" t="s">
        <v>2</v>
      </c>
      <c r="D1" s="6" t="s">
        <v>5</v>
      </c>
      <c r="E1" s="5" t="s">
        <v>8</v>
      </c>
      <c r="F1" s="5" t="s">
        <v>7</v>
      </c>
      <c r="G1" s="7" t="s">
        <v>6</v>
      </c>
      <c r="H1" s="5" t="s">
        <v>12</v>
      </c>
      <c r="I1" s="5" t="s">
        <v>9</v>
      </c>
      <c r="J1" s="5" t="s">
        <v>11</v>
      </c>
      <c r="K1" s="5"/>
      <c r="L1" s="5"/>
      <c r="M1" s="5"/>
      <c r="N1" s="5"/>
    </row>
    <row r="2" spans="1:20" x14ac:dyDescent="0.3">
      <c r="A2" s="1">
        <v>42716</v>
      </c>
      <c r="B2" t="s">
        <v>22</v>
      </c>
      <c r="C2" t="s">
        <v>3</v>
      </c>
      <c r="D2" s="3">
        <v>300</v>
      </c>
      <c r="I2" t="s">
        <v>10</v>
      </c>
    </row>
    <row r="3" spans="1:20" x14ac:dyDescent="0.3">
      <c r="A3" s="1"/>
      <c r="I3" t="s">
        <v>10</v>
      </c>
      <c r="M3" t="s">
        <v>79</v>
      </c>
    </row>
    <row r="4" spans="1:20" x14ac:dyDescent="0.3">
      <c r="A4" s="1">
        <v>43041</v>
      </c>
      <c r="B4" t="s">
        <v>50</v>
      </c>
      <c r="C4" t="s">
        <v>4</v>
      </c>
      <c r="E4">
        <v>31</v>
      </c>
      <c r="F4">
        <v>0</v>
      </c>
      <c r="G4" s="4">
        <v>0</v>
      </c>
      <c r="I4" t="s">
        <v>10</v>
      </c>
      <c r="M4" s="47" t="s">
        <v>35</v>
      </c>
      <c r="N4" s="47"/>
      <c r="O4" s="47"/>
      <c r="P4" s="47"/>
      <c r="Q4" s="47"/>
      <c r="R4" s="47"/>
      <c r="S4" s="47"/>
      <c r="T4" s="47"/>
    </row>
    <row r="5" spans="1:20" x14ac:dyDescent="0.3">
      <c r="A5" s="1">
        <v>43185</v>
      </c>
      <c r="B5" t="s">
        <v>50</v>
      </c>
      <c r="C5" t="s">
        <v>4</v>
      </c>
      <c r="E5">
        <v>2</v>
      </c>
      <c r="F5">
        <v>0</v>
      </c>
      <c r="G5" s="4">
        <v>0</v>
      </c>
      <c r="I5" t="s">
        <v>10</v>
      </c>
      <c r="J5" t="s">
        <v>71</v>
      </c>
      <c r="M5" s="8" t="s">
        <v>36</v>
      </c>
      <c r="N5" s="8" t="s">
        <v>13</v>
      </c>
      <c r="O5" s="8" t="s">
        <v>37</v>
      </c>
      <c r="P5" s="8" t="s">
        <v>22</v>
      </c>
      <c r="Q5" s="8" t="s">
        <v>25</v>
      </c>
      <c r="R5" s="8" t="s">
        <v>27</v>
      </c>
      <c r="S5" s="8" t="s">
        <v>29</v>
      </c>
      <c r="T5" s="8" t="s">
        <v>38</v>
      </c>
    </row>
    <row r="6" spans="1:20" x14ac:dyDescent="0.3">
      <c r="A6" s="1">
        <v>43447</v>
      </c>
      <c r="B6" t="s">
        <v>50</v>
      </c>
      <c r="C6" t="s">
        <v>4</v>
      </c>
      <c r="E6">
        <v>7</v>
      </c>
      <c r="F6">
        <v>1</v>
      </c>
      <c r="G6" s="4">
        <v>0</v>
      </c>
      <c r="I6" t="s">
        <v>10</v>
      </c>
      <c r="J6" t="s">
        <v>74</v>
      </c>
      <c r="M6" s="10" t="s">
        <v>39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f>SUM(N6:S6)</f>
        <v>0</v>
      </c>
    </row>
    <row r="7" spans="1:20" x14ac:dyDescent="0.3">
      <c r="A7" s="1">
        <v>43803</v>
      </c>
      <c r="B7" t="s">
        <v>50</v>
      </c>
      <c r="C7" t="s">
        <v>4</v>
      </c>
      <c r="E7">
        <v>8</v>
      </c>
      <c r="F7">
        <v>0</v>
      </c>
      <c r="G7" s="4">
        <v>0</v>
      </c>
      <c r="I7" t="s">
        <v>10</v>
      </c>
      <c r="J7" t="s">
        <v>81</v>
      </c>
      <c r="M7" s="10" t="s">
        <v>40</v>
      </c>
      <c r="N7" s="11">
        <v>0</v>
      </c>
      <c r="O7" s="11">
        <v>87</v>
      </c>
      <c r="P7" s="11">
        <v>0</v>
      </c>
      <c r="Q7" s="11">
        <v>0</v>
      </c>
      <c r="R7" s="11">
        <v>0</v>
      </c>
      <c r="S7" s="11">
        <v>0</v>
      </c>
      <c r="T7" s="11">
        <f>SUM(N7:S7)</f>
        <v>87</v>
      </c>
    </row>
    <row r="8" spans="1:20" x14ac:dyDescent="0.3">
      <c r="A8" s="1">
        <v>44180</v>
      </c>
      <c r="B8" t="s">
        <v>50</v>
      </c>
      <c r="C8" t="s">
        <v>4</v>
      </c>
      <c r="E8">
        <v>15</v>
      </c>
      <c r="F8">
        <v>3</v>
      </c>
      <c r="G8" s="4">
        <v>0</v>
      </c>
      <c r="I8" t="s">
        <v>10</v>
      </c>
      <c r="J8" t="s">
        <v>93</v>
      </c>
      <c r="M8" s="10" t="s">
        <v>41</v>
      </c>
      <c r="N8" s="11">
        <v>0</v>
      </c>
      <c r="O8" s="11">
        <v>799</v>
      </c>
      <c r="P8" s="11">
        <v>0</v>
      </c>
      <c r="Q8" s="11">
        <v>0</v>
      </c>
      <c r="R8" s="11">
        <v>0</v>
      </c>
      <c r="S8" s="11">
        <v>0</v>
      </c>
      <c r="T8" s="11">
        <f>SUM(N8:S8)</f>
        <v>799</v>
      </c>
    </row>
    <row r="9" spans="1:20" x14ac:dyDescent="0.3">
      <c r="A9" s="1">
        <v>44537</v>
      </c>
      <c r="B9" t="s">
        <v>50</v>
      </c>
      <c r="C9" t="s">
        <v>4</v>
      </c>
      <c r="E9">
        <v>8</v>
      </c>
      <c r="F9">
        <v>2</v>
      </c>
      <c r="G9" s="4">
        <v>0</v>
      </c>
      <c r="I9" t="s">
        <v>10</v>
      </c>
      <c r="J9" t="s">
        <v>117</v>
      </c>
    </row>
    <row r="10" spans="1:20" x14ac:dyDescent="0.3">
      <c r="A10" s="1">
        <v>44895</v>
      </c>
      <c r="B10" t="s">
        <v>50</v>
      </c>
      <c r="C10" t="s">
        <v>4</v>
      </c>
      <c r="E10">
        <v>0</v>
      </c>
      <c r="F10">
        <v>1</v>
      </c>
      <c r="G10" s="4">
        <v>0</v>
      </c>
      <c r="I10" t="s">
        <v>10</v>
      </c>
      <c r="J10" t="s">
        <v>146</v>
      </c>
      <c r="M10" s="35" t="s">
        <v>14</v>
      </c>
      <c r="N10" s="36"/>
      <c r="O10" s="36"/>
      <c r="P10" s="36"/>
      <c r="Q10" s="37"/>
    </row>
    <row r="11" spans="1:20" x14ac:dyDescent="0.3">
      <c r="A11" s="1">
        <v>45610</v>
      </c>
      <c r="B11" t="s">
        <v>22</v>
      </c>
      <c r="C11" t="s">
        <v>3</v>
      </c>
      <c r="D11" s="3">
        <v>700</v>
      </c>
      <c r="J11" t="s">
        <v>151</v>
      </c>
      <c r="M11" s="8" t="s">
        <v>15</v>
      </c>
      <c r="N11" s="8" t="s">
        <v>16</v>
      </c>
      <c r="O11" s="8" t="s">
        <v>17</v>
      </c>
      <c r="P11" s="8" t="s">
        <v>18</v>
      </c>
      <c r="Q11" s="8" t="s">
        <v>19</v>
      </c>
    </row>
    <row r="12" spans="1:20" x14ac:dyDescent="0.3">
      <c r="A12" s="1"/>
      <c r="M12" s="10" t="s">
        <v>13</v>
      </c>
      <c r="N12" s="11" t="s">
        <v>34</v>
      </c>
      <c r="O12" s="12">
        <v>425</v>
      </c>
      <c r="P12" s="12">
        <v>516</v>
      </c>
      <c r="Q12" s="12">
        <v>360</v>
      </c>
    </row>
    <row r="13" spans="1:20" x14ac:dyDescent="0.3">
      <c r="A13" s="1"/>
      <c r="M13" s="10" t="s">
        <v>20</v>
      </c>
      <c r="N13" s="11" t="s">
        <v>21</v>
      </c>
      <c r="O13" s="12">
        <v>272</v>
      </c>
      <c r="P13" s="12">
        <v>330</v>
      </c>
      <c r="Q13" s="12">
        <v>119</v>
      </c>
    </row>
    <row r="14" spans="1:20" x14ac:dyDescent="0.3">
      <c r="A14" s="1"/>
      <c r="M14" s="10" t="s">
        <v>22</v>
      </c>
      <c r="N14" s="11" t="s">
        <v>23</v>
      </c>
      <c r="O14" s="12">
        <v>425</v>
      </c>
      <c r="P14" s="12">
        <v>507</v>
      </c>
      <c r="Q14" s="12" t="s">
        <v>24</v>
      </c>
    </row>
    <row r="15" spans="1:20" x14ac:dyDescent="0.3">
      <c r="A15" s="1"/>
      <c r="M15" s="10" t="s">
        <v>25</v>
      </c>
      <c r="N15" s="11" t="s">
        <v>26</v>
      </c>
      <c r="O15" s="12">
        <v>425</v>
      </c>
      <c r="P15" s="12">
        <v>515</v>
      </c>
      <c r="Q15" s="12" t="s">
        <v>24</v>
      </c>
    </row>
    <row r="16" spans="1:20" x14ac:dyDescent="0.3">
      <c r="A16" s="1"/>
      <c r="M16" s="10" t="s">
        <v>27</v>
      </c>
      <c r="N16" s="11" t="s">
        <v>28</v>
      </c>
      <c r="O16" s="12">
        <v>272</v>
      </c>
      <c r="P16" s="12">
        <v>354</v>
      </c>
      <c r="Q16" s="12">
        <v>196</v>
      </c>
    </row>
    <row r="17" spans="1:29" x14ac:dyDescent="0.3">
      <c r="A17" s="1"/>
      <c r="M17" s="10" t="s">
        <v>29</v>
      </c>
      <c r="N17" s="11" t="s">
        <v>30</v>
      </c>
      <c r="O17" s="12">
        <v>272</v>
      </c>
      <c r="P17" s="12">
        <v>333</v>
      </c>
      <c r="Q17" s="12">
        <v>220</v>
      </c>
    </row>
    <row r="19" spans="1:29" x14ac:dyDescent="0.3">
      <c r="A19" s="1"/>
      <c r="M19" s="35" t="s">
        <v>55</v>
      </c>
      <c r="N19" s="36"/>
      <c r="O19" s="36"/>
      <c r="P19" s="36"/>
      <c r="Q19" s="37"/>
      <c r="W19" s="48" t="s">
        <v>62</v>
      </c>
      <c r="X19" s="48"/>
      <c r="Y19" s="48"/>
      <c r="Z19" s="48"/>
      <c r="AA19" s="48"/>
      <c r="AB19" s="48"/>
      <c r="AC19" s="48"/>
    </row>
    <row r="20" spans="1:29" x14ac:dyDescent="0.3">
      <c r="A20" s="1"/>
      <c r="M20" s="8" t="s">
        <v>15</v>
      </c>
      <c r="N20" s="8" t="s">
        <v>16</v>
      </c>
      <c r="O20" s="8" t="s">
        <v>17</v>
      </c>
      <c r="P20" s="8" t="s">
        <v>18</v>
      </c>
      <c r="Q20" s="8" t="s">
        <v>19</v>
      </c>
      <c r="W20" s="8" t="s">
        <v>36</v>
      </c>
      <c r="X20" s="8" t="s">
        <v>13</v>
      </c>
      <c r="Y20" s="8" t="s">
        <v>37</v>
      </c>
      <c r="Z20" s="8" t="s">
        <v>22</v>
      </c>
      <c r="AA20" s="8" t="s">
        <v>25</v>
      </c>
      <c r="AB20" s="8" t="s">
        <v>27</v>
      </c>
      <c r="AC20" s="8" t="s">
        <v>29</v>
      </c>
    </row>
    <row r="21" spans="1:29" x14ac:dyDescent="0.3">
      <c r="A21" s="1"/>
      <c r="M21" s="10" t="s">
        <v>13</v>
      </c>
      <c r="N21" s="11" t="s">
        <v>56</v>
      </c>
      <c r="O21" s="12">
        <v>425</v>
      </c>
      <c r="P21" s="12">
        <v>535</v>
      </c>
      <c r="Q21" s="12">
        <v>261</v>
      </c>
      <c r="W21" s="10" t="s">
        <v>63</v>
      </c>
      <c r="X21" s="12" t="s">
        <v>24</v>
      </c>
      <c r="Y21" s="12" t="s">
        <v>24</v>
      </c>
      <c r="Z21" s="12" t="s">
        <v>24</v>
      </c>
      <c r="AA21" s="12" t="s">
        <v>24</v>
      </c>
      <c r="AB21" s="12" t="s">
        <v>24</v>
      </c>
      <c r="AC21" s="12" t="s">
        <v>24</v>
      </c>
    </row>
    <row r="22" spans="1:29" x14ac:dyDescent="0.3">
      <c r="A22" s="1"/>
      <c r="M22" s="10" t="s">
        <v>20</v>
      </c>
      <c r="N22" s="11" t="s">
        <v>57</v>
      </c>
      <c r="O22" s="12">
        <v>274</v>
      </c>
      <c r="P22" s="12">
        <v>356</v>
      </c>
      <c r="Q22" s="12">
        <v>130</v>
      </c>
      <c r="W22" s="10" t="s">
        <v>40</v>
      </c>
      <c r="X22" s="12">
        <v>42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3">
      <c r="A23" s="1"/>
      <c r="M23" s="10" t="s">
        <v>22</v>
      </c>
      <c r="N23" s="11" t="s">
        <v>58</v>
      </c>
      <c r="O23" s="12">
        <v>425</v>
      </c>
      <c r="P23" s="12">
        <v>540</v>
      </c>
      <c r="Q23" s="12">
        <v>319</v>
      </c>
      <c r="W23" s="10" t="s">
        <v>41</v>
      </c>
      <c r="X23" s="12">
        <v>0</v>
      </c>
      <c r="Y23" s="12" t="s">
        <v>24</v>
      </c>
      <c r="Z23" s="12" t="s">
        <v>24</v>
      </c>
      <c r="AA23" s="12" t="s">
        <v>24</v>
      </c>
      <c r="AB23" s="12">
        <v>0</v>
      </c>
      <c r="AC23" s="12">
        <v>0</v>
      </c>
    </row>
    <row r="24" spans="1:29" x14ac:dyDescent="0.3">
      <c r="A24" s="1"/>
      <c r="M24" s="10" t="s">
        <v>25</v>
      </c>
      <c r="N24" s="11" t="s">
        <v>59</v>
      </c>
      <c r="O24" s="12">
        <v>425</v>
      </c>
      <c r="P24" s="12">
        <v>528</v>
      </c>
      <c r="Q24" s="12" t="s">
        <v>24</v>
      </c>
      <c r="W24" s="10" t="s">
        <v>64</v>
      </c>
      <c r="X24" s="12">
        <v>116</v>
      </c>
      <c r="Y24" s="12">
        <v>540</v>
      </c>
      <c r="Z24" s="12">
        <v>2</v>
      </c>
      <c r="AA24" s="12">
        <v>2</v>
      </c>
      <c r="AB24" s="12">
        <v>11</v>
      </c>
      <c r="AC24" s="12">
        <v>3</v>
      </c>
    </row>
    <row r="25" spans="1:29" x14ac:dyDescent="0.3">
      <c r="A25" s="1"/>
      <c r="M25" s="10" t="s">
        <v>27</v>
      </c>
      <c r="N25" s="11" t="s">
        <v>60</v>
      </c>
      <c r="O25" s="12">
        <v>272</v>
      </c>
      <c r="P25" s="12">
        <v>427</v>
      </c>
      <c r="Q25" s="12">
        <v>301</v>
      </c>
      <c r="W25" s="10" t="s">
        <v>65</v>
      </c>
      <c r="X25" s="12">
        <v>25</v>
      </c>
      <c r="Y25" s="12">
        <v>8</v>
      </c>
      <c r="Z25" s="12">
        <v>6</v>
      </c>
      <c r="AA25" s="12">
        <v>15</v>
      </c>
      <c r="AB25" s="12">
        <v>24</v>
      </c>
      <c r="AC25" s="12">
        <v>9</v>
      </c>
    </row>
    <row r="26" spans="1:29" x14ac:dyDescent="0.3">
      <c r="M26" s="10" t="s">
        <v>29</v>
      </c>
      <c r="N26" s="11" t="s">
        <v>61</v>
      </c>
      <c r="O26" s="12" t="s">
        <v>24</v>
      </c>
      <c r="P26" s="12" t="s">
        <v>24</v>
      </c>
      <c r="Q26" s="12">
        <v>207</v>
      </c>
      <c r="W26" s="10" t="s">
        <v>66</v>
      </c>
      <c r="X26" s="12" t="s">
        <v>24</v>
      </c>
      <c r="Y26" s="12" t="s">
        <v>24</v>
      </c>
      <c r="Z26" s="12" t="s">
        <v>24</v>
      </c>
      <c r="AA26" s="12" t="s">
        <v>24</v>
      </c>
      <c r="AB26" s="12" t="s">
        <v>24</v>
      </c>
      <c r="AC26" s="12" t="s">
        <v>24</v>
      </c>
    </row>
    <row r="28" spans="1:29" ht="17.399999999999999" x14ac:dyDescent="0.3">
      <c r="M28" s="34" t="s">
        <v>78</v>
      </c>
      <c r="N28" s="34"/>
      <c r="O28" s="34"/>
      <c r="P28" s="34"/>
      <c r="Q28" s="34"/>
      <c r="R28" s="34"/>
      <c r="S28" s="34"/>
    </row>
    <row r="29" spans="1:29" x14ac:dyDescent="0.3">
      <c r="M29" s="13" t="s">
        <v>36</v>
      </c>
      <c r="N29" s="13" t="s">
        <v>13</v>
      </c>
      <c r="O29" s="13" t="s">
        <v>37</v>
      </c>
      <c r="P29" s="13" t="s">
        <v>22</v>
      </c>
      <c r="Q29" s="13" t="s">
        <v>25</v>
      </c>
      <c r="R29" s="13" t="s">
        <v>27</v>
      </c>
      <c r="S29" s="13" t="s">
        <v>29</v>
      </c>
    </row>
    <row r="30" spans="1:29" x14ac:dyDescent="0.3">
      <c r="M30" s="14" t="s">
        <v>63</v>
      </c>
      <c r="N30" s="15" t="s">
        <v>24</v>
      </c>
      <c r="O30" s="15" t="s">
        <v>24</v>
      </c>
      <c r="P30" s="15" t="s">
        <v>24</v>
      </c>
      <c r="Q30" s="15" t="s">
        <v>24</v>
      </c>
      <c r="R30" s="15" t="s">
        <v>24</v>
      </c>
      <c r="S30" s="15" t="s">
        <v>24</v>
      </c>
    </row>
    <row r="31" spans="1:29" x14ac:dyDescent="0.3">
      <c r="M31" s="14" t="s">
        <v>40</v>
      </c>
      <c r="N31" s="15">
        <v>120</v>
      </c>
      <c r="O31" s="15" t="s">
        <v>24</v>
      </c>
      <c r="P31" s="15">
        <v>0</v>
      </c>
      <c r="Q31" s="15">
        <v>0</v>
      </c>
      <c r="R31" s="15" t="s">
        <v>24</v>
      </c>
      <c r="S31" s="15">
        <v>0</v>
      </c>
    </row>
    <row r="32" spans="1:29" x14ac:dyDescent="0.3">
      <c r="M32" s="14" t="s">
        <v>41</v>
      </c>
      <c r="N32" s="15" t="s">
        <v>24</v>
      </c>
      <c r="O32" s="15" t="s">
        <v>24</v>
      </c>
      <c r="P32" s="15" t="s">
        <v>24</v>
      </c>
      <c r="Q32" s="15" t="s">
        <v>24</v>
      </c>
      <c r="R32" s="15">
        <v>0</v>
      </c>
      <c r="S32" s="15">
        <v>0</v>
      </c>
    </row>
    <row r="33" spans="13:29" x14ac:dyDescent="0.3">
      <c r="M33" s="14" t="s">
        <v>64</v>
      </c>
      <c r="N33" s="15">
        <v>7</v>
      </c>
      <c r="O33" s="15">
        <v>242</v>
      </c>
      <c r="P33" s="15">
        <v>1</v>
      </c>
      <c r="Q33" s="15">
        <v>0</v>
      </c>
      <c r="R33" s="15">
        <v>24</v>
      </c>
      <c r="S33" s="15">
        <v>5</v>
      </c>
    </row>
    <row r="34" spans="13:29" x14ac:dyDescent="0.3">
      <c r="M34" s="14" t="s">
        <v>65</v>
      </c>
      <c r="N34" s="15">
        <v>37</v>
      </c>
      <c r="O34" s="15">
        <v>77</v>
      </c>
      <c r="P34" s="15">
        <v>7</v>
      </c>
      <c r="Q34" s="15">
        <v>15</v>
      </c>
      <c r="R34" s="15">
        <v>94</v>
      </c>
      <c r="S34" s="15">
        <v>79</v>
      </c>
    </row>
    <row r="35" spans="13:29" x14ac:dyDescent="0.3">
      <c r="M35" s="14" t="s">
        <v>66</v>
      </c>
      <c r="N35" s="15" t="s">
        <v>24</v>
      </c>
      <c r="O35" s="15" t="s">
        <v>24</v>
      </c>
      <c r="P35" s="15" t="s">
        <v>24</v>
      </c>
      <c r="Q35" s="15" t="s">
        <v>24</v>
      </c>
      <c r="R35" s="15" t="s">
        <v>24</v>
      </c>
      <c r="S35" s="15" t="s">
        <v>24</v>
      </c>
    </row>
    <row r="37" spans="13:29" ht="17.399999999999999" x14ac:dyDescent="0.3">
      <c r="M37" s="31" t="s">
        <v>85</v>
      </c>
      <c r="N37" s="32"/>
      <c r="O37" s="32"/>
      <c r="P37" s="32"/>
      <c r="Q37" s="33"/>
      <c r="W37" s="34" t="s">
        <v>84</v>
      </c>
      <c r="X37" s="34"/>
      <c r="Y37" s="34"/>
      <c r="Z37" s="34"/>
      <c r="AA37" s="34"/>
      <c r="AB37" s="34"/>
      <c r="AC37" s="34"/>
    </row>
    <row r="38" spans="13:29" ht="26.4" x14ac:dyDescent="0.3">
      <c r="M38" s="8" t="s">
        <v>15</v>
      </c>
      <c r="N38" s="9" t="s">
        <v>16</v>
      </c>
      <c r="O38" s="9" t="s">
        <v>17</v>
      </c>
      <c r="P38" s="9" t="s">
        <v>18</v>
      </c>
      <c r="Q38" s="9" t="s">
        <v>19</v>
      </c>
      <c r="W38" s="13" t="s">
        <v>36</v>
      </c>
      <c r="X38" s="13" t="s">
        <v>13</v>
      </c>
      <c r="Y38" s="13" t="s">
        <v>37</v>
      </c>
      <c r="Z38" s="13" t="s">
        <v>22</v>
      </c>
      <c r="AA38" s="13" t="s">
        <v>25</v>
      </c>
      <c r="AB38" s="13" t="s">
        <v>27</v>
      </c>
      <c r="AC38" s="13" t="s">
        <v>29</v>
      </c>
    </row>
    <row r="39" spans="13:29" x14ac:dyDescent="0.3">
      <c r="M39" s="14" t="s">
        <v>13</v>
      </c>
      <c r="N39" s="16" t="s">
        <v>86</v>
      </c>
      <c r="O39" s="15">
        <v>435</v>
      </c>
      <c r="P39" s="15">
        <v>538</v>
      </c>
      <c r="Q39" s="15">
        <v>256</v>
      </c>
      <c r="W39" s="14" t="s">
        <v>63</v>
      </c>
      <c r="X39" s="15" t="s">
        <v>24</v>
      </c>
      <c r="Y39" s="15" t="s">
        <v>24</v>
      </c>
      <c r="Z39" s="15" t="s">
        <v>24</v>
      </c>
      <c r="AA39" s="15" t="s">
        <v>24</v>
      </c>
      <c r="AB39" s="15" t="s">
        <v>24</v>
      </c>
      <c r="AC39" s="15" t="s">
        <v>24</v>
      </c>
    </row>
    <row r="40" spans="13:29" x14ac:dyDescent="0.3">
      <c r="M40" s="14" t="s">
        <v>20</v>
      </c>
      <c r="N40" s="16" t="s">
        <v>87</v>
      </c>
      <c r="O40" s="15" t="s">
        <v>24</v>
      </c>
      <c r="P40" s="15" t="s">
        <v>24</v>
      </c>
      <c r="Q40" s="15">
        <v>175</v>
      </c>
      <c r="W40" s="14" t="s">
        <v>40</v>
      </c>
      <c r="X40" s="15">
        <v>19</v>
      </c>
      <c r="Y40" s="15" t="s">
        <v>24</v>
      </c>
      <c r="Z40" s="15">
        <v>1</v>
      </c>
      <c r="AA40" s="15">
        <v>0</v>
      </c>
      <c r="AB40" s="15" t="s">
        <v>24</v>
      </c>
      <c r="AC40" s="15" t="s">
        <v>24</v>
      </c>
    </row>
    <row r="41" spans="13:29" x14ac:dyDescent="0.3">
      <c r="M41" s="14" t="s">
        <v>22</v>
      </c>
      <c r="N41" s="16" t="s">
        <v>88</v>
      </c>
      <c r="O41" s="15">
        <v>428</v>
      </c>
      <c r="P41" s="15">
        <v>561</v>
      </c>
      <c r="Q41" s="15">
        <v>319</v>
      </c>
      <c r="W41" s="14" t="s">
        <v>41</v>
      </c>
      <c r="X41" s="15" t="s">
        <v>24</v>
      </c>
      <c r="Y41" s="15" t="s">
        <v>24</v>
      </c>
      <c r="Z41" s="15" t="s">
        <v>24</v>
      </c>
      <c r="AA41" s="15" t="s">
        <v>24</v>
      </c>
      <c r="AB41" s="15" t="s">
        <v>24</v>
      </c>
      <c r="AC41" s="15">
        <v>0</v>
      </c>
    </row>
    <row r="42" spans="13:29" x14ac:dyDescent="0.3">
      <c r="M42" s="14" t="s">
        <v>25</v>
      </c>
      <c r="N42" s="16" t="s">
        <v>89</v>
      </c>
      <c r="O42" s="15">
        <v>425</v>
      </c>
      <c r="P42" s="15">
        <v>562</v>
      </c>
      <c r="Q42" s="15">
        <v>564</v>
      </c>
      <c r="W42" s="14" t="s">
        <v>64</v>
      </c>
      <c r="X42" s="15">
        <v>35</v>
      </c>
      <c r="Y42" s="15">
        <v>20</v>
      </c>
      <c r="Z42" s="15">
        <v>0</v>
      </c>
      <c r="AA42" s="15">
        <v>0</v>
      </c>
      <c r="AB42" s="15">
        <v>0</v>
      </c>
      <c r="AC42" s="15">
        <v>21</v>
      </c>
    </row>
    <row r="43" spans="13:29" x14ac:dyDescent="0.3">
      <c r="M43" s="14" t="s">
        <v>27</v>
      </c>
      <c r="N43" s="16">
        <v>0</v>
      </c>
      <c r="O43" s="15" t="s">
        <v>24</v>
      </c>
      <c r="P43" s="15" t="s">
        <v>24</v>
      </c>
      <c r="Q43" s="15" t="s">
        <v>24</v>
      </c>
      <c r="W43" s="14" t="s">
        <v>65</v>
      </c>
      <c r="X43" s="15">
        <v>48</v>
      </c>
      <c r="Y43" s="15">
        <v>18</v>
      </c>
      <c r="Z43" s="15">
        <v>19</v>
      </c>
      <c r="AA43" s="15">
        <v>10</v>
      </c>
      <c r="AB43" s="15">
        <v>0</v>
      </c>
      <c r="AC43" s="15">
        <v>69</v>
      </c>
    </row>
    <row r="44" spans="13:29" x14ac:dyDescent="0.3">
      <c r="M44" s="14" t="s">
        <v>29</v>
      </c>
      <c r="N44" s="16" t="s">
        <v>90</v>
      </c>
      <c r="O44" s="15">
        <v>268</v>
      </c>
      <c r="P44" s="15">
        <v>403</v>
      </c>
      <c r="Q44" s="15">
        <v>244</v>
      </c>
      <c r="W44" s="14" t="s">
        <v>66</v>
      </c>
      <c r="X44" s="15" t="s">
        <v>24</v>
      </c>
      <c r="Y44" s="15" t="s">
        <v>24</v>
      </c>
      <c r="Z44" s="15" t="s">
        <v>24</v>
      </c>
      <c r="AA44" s="15" t="s">
        <v>24</v>
      </c>
      <c r="AB44" s="15" t="s">
        <v>24</v>
      </c>
      <c r="AC44" s="15" t="s">
        <v>24</v>
      </c>
    </row>
    <row r="46" spans="13:29" x14ac:dyDescent="0.3">
      <c r="M46" s="35" t="s">
        <v>108</v>
      </c>
      <c r="N46" s="36"/>
      <c r="O46" s="36"/>
      <c r="P46" s="36"/>
      <c r="Q46" s="37"/>
    </row>
    <row r="47" spans="13:29" ht="26.4" x14ac:dyDescent="0.3">
      <c r="M47" s="8" t="s">
        <v>15</v>
      </c>
      <c r="N47" s="9" t="s">
        <v>16</v>
      </c>
      <c r="O47" s="9" t="s">
        <v>17</v>
      </c>
      <c r="P47" s="9" t="s">
        <v>18</v>
      </c>
      <c r="Q47" s="9" t="s">
        <v>19</v>
      </c>
    </row>
    <row r="48" spans="13:29" x14ac:dyDescent="0.3">
      <c r="M48" s="10" t="s">
        <v>13</v>
      </c>
      <c r="N48" s="11" t="s">
        <v>109</v>
      </c>
      <c r="O48" s="12">
        <v>441</v>
      </c>
      <c r="P48" s="12">
        <v>549</v>
      </c>
      <c r="Q48" s="12">
        <v>282</v>
      </c>
    </row>
    <row r="49" spans="13:17" x14ac:dyDescent="0.3">
      <c r="M49" s="10" t="s">
        <v>20</v>
      </c>
      <c r="N49" s="11" t="s">
        <v>110</v>
      </c>
      <c r="O49" s="12" t="s">
        <v>24</v>
      </c>
      <c r="P49" s="12" t="s">
        <v>24</v>
      </c>
      <c r="Q49" s="12">
        <v>226</v>
      </c>
    </row>
    <row r="50" spans="13:17" x14ac:dyDescent="0.3">
      <c r="M50" s="10" t="s">
        <v>22</v>
      </c>
      <c r="N50" s="11" t="s">
        <v>111</v>
      </c>
      <c r="O50" s="12">
        <v>428</v>
      </c>
      <c r="P50" s="12">
        <v>555</v>
      </c>
      <c r="Q50" s="12">
        <v>456</v>
      </c>
    </row>
    <row r="51" spans="13:17" x14ac:dyDescent="0.3">
      <c r="M51" s="10" t="s">
        <v>25</v>
      </c>
      <c r="N51" s="11" t="s">
        <v>112</v>
      </c>
      <c r="O51" s="12">
        <v>441</v>
      </c>
      <c r="P51" s="12">
        <v>561</v>
      </c>
      <c r="Q51" s="12">
        <v>483</v>
      </c>
    </row>
    <row r="52" spans="13:17" x14ac:dyDescent="0.3">
      <c r="M52" s="10" t="s">
        <v>27</v>
      </c>
      <c r="N52" s="11">
        <v>0</v>
      </c>
      <c r="O52" s="12" t="s">
        <v>24</v>
      </c>
      <c r="P52" s="12" t="s">
        <v>24</v>
      </c>
      <c r="Q52" s="12" t="s">
        <v>24</v>
      </c>
    </row>
    <row r="53" spans="13:17" x14ac:dyDescent="0.3">
      <c r="M53" s="10" t="s">
        <v>29</v>
      </c>
      <c r="N53" s="11" t="s">
        <v>113</v>
      </c>
      <c r="O53" s="12">
        <v>259</v>
      </c>
      <c r="P53" s="12">
        <v>417</v>
      </c>
      <c r="Q53" s="12">
        <v>289</v>
      </c>
    </row>
    <row r="54" spans="13:17" x14ac:dyDescent="0.3">
      <c r="M54" s="14" t="s">
        <v>29</v>
      </c>
      <c r="N54" s="16" t="s">
        <v>107</v>
      </c>
      <c r="O54" s="15">
        <v>265</v>
      </c>
      <c r="P54" s="15">
        <v>387</v>
      </c>
      <c r="Q54" s="15">
        <v>305</v>
      </c>
    </row>
    <row r="56" spans="13:17" ht="17.399999999999999" x14ac:dyDescent="0.3">
      <c r="M56" s="38" t="s">
        <v>97</v>
      </c>
      <c r="N56" s="39"/>
      <c r="O56" s="39"/>
      <c r="P56" s="39"/>
      <c r="Q56" s="40"/>
    </row>
    <row r="57" spans="13:17" x14ac:dyDescent="0.3">
      <c r="M57" s="17"/>
      <c r="N57" s="18"/>
      <c r="O57" s="18"/>
      <c r="P57" s="18"/>
      <c r="Q57" s="19"/>
    </row>
    <row r="58" spans="13:17" ht="26.4" x14ac:dyDescent="0.3">
      <c r="M58" s="20" t="s">
        <v>15</v>
      </c>
      <c r="N58" s="21" t="s">
        <v>16</v>
      </c>
      <c r="O58" s="21" t="s">
        <v>98</v>
      </c>
      <c r="P58" s="21" t="s">
        <v>99</v>
      </c>
      <c r="Q58" s="21" t="s">
        <v>19</v>
      </c>
    </row>
    <row r="59" spans="13:17" x14ac:dyDescent="0.3">
      <c r="M59" s="14" t="s">
        <v>13</v>
      </c>
      <c r="N59" s="16" t="s">
        <v>100</v>
      </c>
      <c r="O59" s="15" t="s">
        <v>24</v>
      </c>
      <c r="P59" s="15" t="s">
        <v>24</v>
      </c>
      <c r="Q59" s="15">
        <v>276</v>
      </c>
    </row>
    <row r="60" spans="13:17" x14ac:dyDescent="0.3">
      <c r="M60" s="14" t="s">
        <v>20</v>
      </c>
      <c r="N60" s="16">
        <v>0</v>
      </c>
      <c r="O60" s="15" t="s">
        <v>24</v>
      </c>
      <c r="P60" s="15" t="s">
        <v>24</v>
      </c>
      <c r="Q60" s="15" t="s">
        <v>24</v>
      </c>
    </row>
    <row r="61" spans="13:17" x14ac:dyDescent="0.3">
      <c r="M61" s="14" t="s">
        <v>22</v>
      </c>
      <c r="N61" s="16" t="s">
        <v>101</v>
      </c>
      <c r="O61" s="15">
        <v>441</v>
      </c>
      <c r="P61" s="15">
        <v>581</v>
      </c>
      <c r="Q61" s="15" t="s">
        <v>24</v>
      </c>
    </row>
    <row r="62" spans="13:17" x14ac:dyDescent="0.3">
      <c r="M62" s="14" t="s">
        <v>25</v>
      </c>
      <c r="N62" s="16" t="s">
        <v>102</v>
      </c>
      <c r="O62" s="15" t="s">
        <v>24</v>
      </c>
      <c r="P62" s="15" t="s">
        <v>24</v>
      </c>
      <c r="Q62" s="15">
        <v>457</v>
      </c>
    </row>
    <row r="63" spans="13:17" x14ac:dyDescent="0.3">
      <c r="M63" s="14" t="s">
        <v>27</v>
      </c>
      <c r="N63" s="16" t="s">
        <v>103</v>
      </c>
      <c r="O63" s="15" t="s">
        <v>104</v>
      </c>
      <c r="P63" s="15" t="s">
        <v>105</v>
      </c>
      <c r="Q63" s="15" t="s">
        <v>106</v>
      </c>
    </row>
    <row r="64" spans="13:17" x14ac:dyDescent="0.3">
      <c r="M64" s="14" t="s">
        <v>29</v>
      </c>
      <c r="N64" s="16" t="s">
        <v>107</v>
      </c>
      <c r="O64" s="15">
        <v>265</v>
      </c>
      <c r="P64" s="15">
        <v>387</v>
      </c>
      <c r="Q64" s="15">
        <v>305</v>
      </c>
    </row>
    <row r="66" spans="13:16" x14ac:dyDescent="0.3">
      <c r="M66" s="41" t="s">
        <v>126</v>
      </c>
      <c r="N66" s="42"/>
      <c r="O66" s="42"/>
      <c r="P66" s="43"/>
    </row>
    <row r="67" spans="13:16" x14ac:dyDescent="0.3">
      <c r="M67" s="44"/>
      <c r="N67" s="45"/>
      <c r="O67" s="45"/>
      <c r="P67" s="46"/>
    </row>
    <row r="68" spans="13:16" ht="39.6" x14ac:dyDescent="0.3">
      <c r="M68" s="20" t="s">
        <v>15</v>
      </c>
      <c r="N68" s="21" t="s">
        <v>127</v>
      </c>
      <c r="O68" s="21" t="s">
        <v>128</v>
      </c>
      <c r="P68" s="21" t="s">
        <v>129</v>
      </c>
    </row>
    <row r="69" spans="13:16" x14ac:dyDescent="0.3">
      <c r="M69" s="14" t="s">
        <v>13</v>
      </c>
      <c r="N69" s="16" t="s">
        <v>130</v>
      </c>
      <c r="O69" s="15">
        <v>51</v>
      </c>
      <c r="P69" s="15" t="s">
        <v>131</v>
      </c>
    </row>
    <row r="70" spans="13:16" x14ac:dyDescent="0.3">
      <c r="M70" s="14" t="s">
        <v>22</v>
      </c>
      <c r="N70" s="16" t="s">
        <v>132</v>
      </c>
      <c r="O70" s="15">
        <v>1</v>
      </c>
      <c r="P70" s="15" t="s">
        <v>133</v>
      </c>
    </row>
    <row r="71" spans="13:16" ht="15" thickBot="1" x14ac:dyDescent="0.35">
      <c r="M71" s="24" t="s">
        <v>25</v>
      </c>
      <c r="N71" s="25" t="s">
        <v>134</v>
      </c>
      <c r="O71" s="26">
        <v>3</v>
      </c>
      <c r="P71" s="26" t="s">
        <v>132</v>
      </c>
    </row>
    <row r="72" spans="13:16" x14ac:dyDescent="0.3">
      <c r="M72" s="27"/>
      <c r="N72" s="28" t="s">
        <v>135</v>
      </c>
      <c r="O72" s="29">
        <v>0.84615384615384615</v>
      </c>
      <c r="P72" s="30">
        <v>0.15384615384615385</v>
      </c>
    </row>
    <row r="74" spans="13:16" x14ac:dyDescent="0.3">
      <c r="M74" s="41" t="s">
        <v>136</v>
      </c>
      <c r="N74" s="42"/>
      <c r="O74" s="42"/>
      <c r="P74" s="43"/>
    </row>
    <row r="75" spans="13:16" x14ac:dyDescent="0.3">
      <c r="M75" s="44"/>
      <c r="N75" s="45"/>
      <c r="O75" s="45"/>
      <c r="P75" s="46"/>
    </row>
    <row r="76" spans="13:16" ht="39.6" x14ac:dyDescent="0.3">
      <c r="M76" s="20" t="s">
        <v>15</v>
      </c>
      <c r="N76" s="21" t="s">
        <v>127</v>
      </c>
      <c r="O76" s="21" t="s">
        <v>128</v>
      </c>
      <c r="P76" s="21" t="s">
        <v>129</v>
      </c>
    </row>
    <row r="77" spans="13:16" x14ac:dyDescent="0.3">
      <c r="M77" s="14" t="s">
        <v>20</v>
      </c>
      <c r="N77" s="16" t="s">
        <v>137</v>
      </c>
      <c r="O77" s="15">
        <v>412</v>
      </c>
      <c r="P77" s="15" t="s">
        <v>138</v>
      </c>
    </row>
    <row r="78" spans="13:16" x14ac:dyDescent="0.3">
      <c r="M78" s="14" t="s">
        <v>27</v>
      </c>
      <c r="N78" s="16" t="s">
        <v>139</v>
      </c>
      <c r="O78" s="15">
        <v>8</v>
      </c>
      <c r="P78" s="15" t="s">
        <v>140</v>
      </c>
    </row>
    <row r="79" spans="13:16" x14ac:dyDescent="0.3">
      <c r="M79" s="14" t="s">
        <v>29</v>
      </c>
      <c r="N79" s="16" t="s">
        <v>100</v>
      </c>
      <c r="O79" s="15">
        <v>47</v>
      </c>
      <c r="P79" s="15" t="s">
        <v>141</v>
      </c>
    </row>
    <row r="80" spans="13:16" x14ac:dyDescent="0.3">
      <c r="M80" s="27"/>
      <c r="N80" s="28" t="s">
        <v>142</v>
      </c>
      <c r="O80" s="29">
        <v>0.71846153846153848</v>
      </c>
      <c r="P80" s="30">
        <v>0.28153846153846152</v>
      </c>
    </row>
  </sheetData>
  <mergeCells count="11">
    <mergeCell ref="M4:T4"/>
    <mergeCell ref="M10:Q10"/>
    <mergeCell ref="M19:Q19"/>
    <mergeCell ref="W19:AC19"/>
    <mergeCell ref="M74:P75"/>
    <mergeCell ref="M28:S28"/>
    <mergeCell ref="M37:Q37"/>
    <mergeCell ref="W37:AC37"/>
    <mergeCell ref="M46:Q46"/>
    <mergeCell ref="M56:Q56"/>
    <mergeCell ref="M66:P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5408-B486-41DE-B484-B8FADC06F67B}">
  <dimension ref="A1:AC80"/>
  <sheetViews>
    <sheetView workbookViewId="0">
      <selection activeCell="J22" sqref="J22"/>
    </sheetView>
  </sheetViews>
  <sheetFormatPr defaultRowHeight="14.4" x14ac:dyDescent="0.3"/>
  <cols>
    <col min="1" max="1" width="10.33203125" bestFit="1" customWidth="1"/>
    <col min="2" max="2" width="8.6640625" bestFit="1" customWidth="1"/>
    <col min="3" max="3" width="9.6640625" customWidth="1"/>
    <col min="4" max="4" width="7.88671875" style="3" bestFit="1" customWidth="1"/>
    <col min="5" max="5" width="9.44140625" customWidth="1"/>
    <col min="6" max="6" width="8.109375" customWidth="1"/>
    <col min="7" max="7" width="9.109375" style="4" customWidth="1"/>
    <col min="8" max="8" width="6.44140625" customWidth="1"/>
    <col min="9" max="9" width="5" customWidth="1"/>
    <col min="10" max="10" width="99.6640625" bestFit="1" customWidth="1"/>
    <col min="13" max="13" width="12.33203125" bestFit="1" customWidth="1"/>
    <col min="14" max="14" width="27.109375" bestFit="1" customWidth="1"/>
    <col min="15" max="15" width="26.6640625" bestFit="1" customWidth="1"/>
    <col min="16" max="16" width="26.77734375" bestFit="1" customWidth="1"/>
    <col min="17" max="17" width="23.33203125" bestFit="1" customWidth="1"/>
    <col min="18" max="19" width="7.109375" bestFit="1" customWidth="1"/>
    <col min="20" max="20" width="5.44140625" bestFit="1" customWidth="1"/>
  </cols>
  <sheetData>
    <row r="1" spans="1:20" s="2" customFormat="1" ht="61.8" customHeight="1" thickBot="1" x14ac:dyDescent="0.35">
      <c r="A1" s="5" t="s">
        <v>0</v>
      </c>
      <c r="B1" s="5" t="s">
        <v>1</v>
      </c>
      <c r="C1" s="5" t="s">
        <v>2</v>
      </c>
      <c r="D1" s="6" t="s">
        <v>5</v>
      </c>
      <c r="E1" s="5" t="s">
        <v>8</v>
      </c>
      <c r="F1" s="5" t="s">
        <v>7</v>
      </c>
      <c r="G1" s="7" t="s">
        <v>6</v>
      </c>
      <c r="H1" s="5" t="s">
        <v>12</v>
      </c>
      <c r="I1" s="5" t="s">
        <v>9</v>
      </c>
      <c r="J1" s="5" t="s">
        <v>11</v>
      </c>
      <c r="K1" s="5"/>
      <c r="L1" s="5"/>
      <c r="M1" s="5"/>
      <c r="N1" s="5"/>
    </row>
    <row r="2" spans="1:20" x14ac:dyDescent="0.3">
      <c r="A2" s="1">
        <v>42716</v>
      </c>
      <c r="B2" t="s">
        <v>25</v>
      </c>
      <c r="C2" t="s">
        <v>3</v>
      </c>
      <c r="D2" s="3">
        <v>300</v>
      </c>
      <c r="I2" t="s">
        <v>10</v>
      </c>
    </row>
    <row r="3" spans="1:20" x14ac:dyDescent="0.3">
      <c r="A3" s="1"/>
      <c r="M3" t="s">
        <v>79</v>
      </c>
    </row>
    <row r="4" spans="1:20" x14ac:dyDescent="0.3">
      <c r="A4" s="1">
        <v>43041</v>
      </c>
      <c r="B4" t="s">
        <v>51</v>
      </c>
      <c r="C4" t="s">
        <v>4</v>
      </c>
      <c r="E4">
        <v>23</v>
      </c>
      <c r="F4">
        <v>0</v>
      </c>
      <c r="G4" s="4">
        <v>0</v>
      </c>
      <c r="I4" t="s">
        <v>10</v>
      </c>
      <c r="M4" s="47" t="s">
        <v>35</v>
      </c>
      <c r="N4" s="47"/>
      <c r="O4" s="47"/>
      <c r="P4" s="47"/>
      <c r="Q4" s="47"/>
      <c r="R4" s="47"/>
      <c r="S4" s="47"/>
      <c r="T4" s="47"/>
    </row>
    <row r="5" spans="1:20" x14ac:dyDescent="0.3">
      <c r="A5" s="1">
        <v>43185</v>
      </c>
      <c r="B5" t="s">
        <v>51</v>
      </c>
      <c r="C5" t="s">
        <v>4</v>
      </c>
      <c r="E5">
        <v>19</v>
      </c>
      <c r="F5">
        <v>0</v>
      </c>
      <c r="G5" s="4">
        <v>0</v>
      </c>
      <c r="I5" t="s">
        <v>10</v>
      </c>
      <c r="M5" s="8" t="s">
        <v>36</v>
      </c>
      <c r="N5" s="8" t="s">
        <v>13</v>
      </c>
      <c r="O5" s="8" t="s">
        <v>37</v>
      </c>
      <c r="P5" s="8" t="s">
        <v>22</v>
      </c>
      <c r="Q5" s="8" t="s">
        <v>25</v>
      </c>
      <c r="R5" s="8" t="s">
        <v>27</v>
      </c>
      <c r="S5" s="8" t="s">
        <v>29</v>
      </c>
      <c r="T5" s="8" t="s">
        <v>38</v>
      </c>
    </row>
    <row r="6" spans="1:20" x14ac:dyDescent="0.3">
      <c r="A6" s="1">
        <v>43449</v>
      </c>
      <c r="B6" t="s">
        <v>51</v>
      </c>
      <c r="C6" t="s">
        <v>4</v>
      </c>
      <c r="E6">
        <v>17</v>
      </c>
      <c r="F6">
        <v>0</v>
      </c>
      <c r="G6" s="4">
        <v>0</v>
      </c>
      <c r="I6" t="s">
        <v>10</v>
      </c>
      <c r="M6" s="10" t="s">
        <v>39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f>SUM(N6:S6)</f>
        <v>0</v>
      </c>
    </row>
    <row r="7" spans="1:20" x14ac:dyDescent="0.3">
      <c r="A7" s="1">
        <v>43803</v>
      </c>
      <c r="B7" t="s">
        <v>51</v>
      </c>
      <c r="C7" t="s">
        <v>4</v>
      </c>
      <c r="E7">
        <v>15</v>
      </c>
      <c r="F7">
        <v>0</v>
      </c>
      <c r="G7" s="4">
        <v>0</v>
      </c>
      <c r="I7" t="s">
        <v>10</v>
      </c>
      <c r="M7" s="10" t="s">
        <v>40</v>
      </c>
      <c r="N7" s="11">
        <v>0</v>
      </c>
      <c r="O7" s="11">
        <v>87</v>
      </c>
      <c r="P7" s="11">
        <v>0</v>
      </c>
      <c r="Q7" s="11">
        <v>0</v>
      </c>
      <c r="R7" s="11">
        <v>0</v>
      </c>
      <c r="S7" s="11">
        <v>0</v>
      </c>
      <c r="T7" s="11">
        <f>SUM(N7:S7)</f>
        <v>87</v>
      </c>
    </row>
    <row r="8" spans="1:20" x14ac:dyDescent="0.3">
      <c r="A8" s="1">
        <v>44168</v>
      </c>
      <c r="B8" t="s">
        <v>51</v>
      </c>
      <c r="C8" t="s">
        <v>4</v>
      </c>
      <c r="E8">
        <v>9</v>
      </c>
      <c r="F8">
        <v>1</v>
      </c>
      <c r="G8" s="4">
        <v>0</v>
      </c>
      <c r="I8" t="s">
        <v>10</v>
      </c>
      <c r="J8" t="s">
        <v>94</v>
      </c>
      <c r="M8" s="10" t="s">
        <v>41</v>
      </c>
      <c r="N8" s="11">
        <v>0</v>
      </c>
      <c r="O8" s="11">
        <v>799</v>
      </c>
      <c r="P8" s="11">
        <v>0</v>
      </c>
      <c r="Q8" s="11">
        <v>0</v>
      </c>
      <c r="R8" s="11">
        <v>0</v>
      </c>
      <c r="S8" s="11">
        <v>0</v>
      </c>
      <c r="T8" s="11">
        <f>SUM(N8:S8)</f>
        <v>799</v>
      </c>
    </row>
    <row r="9" spans="1:20" x14ac:dyDescent="0.3">
      <c r="A9" s="1">
        <v>44596</v>
      </c>
      <c r="B9" t="s">
        <v>51</v>
      </c>
      <c r="C9" t="s">
        <v>4</v>
      </c>
      <c r="E9">
        <v>11</v>
      </c>
      <c r="F9">
        <v>1</v>
      </c>
      <c r="G9" s="4">
        <v>0</v>
      </c>
      <c r="I9" t="s">
        <v>10</v>
      </c>
      <c r="J9" t="s">
        <v>118</v>
      </c>
    </row>
    <row r="10" spans="1:20" x14ac:dyDescent="0.3">
      <c r="A10" s="1">
        <v>44894</v>
      </c>
      <c r="B10" t="s">
        <v>51</v>
      </c>
      <c r="C10" t="s">
        <v>4</v>
      </c>
      <c r="E10">
        <v>0</v>
      </c>
      <c r="F10">
        <v>6</v>
      </c>
      <c r="G10" s="4">
        <v>0</v>
      </c>
      <c r="I10" t="s">
        <v>10</v>
      </c>
      <c r="J10" t="s">
        <v>122</v>
      </c>
      <c r="M10" s="35" t="s">
        <v>14</v>
      </c>
      <c r="N10" s="36"/>
      <c r="O10" s="36"/>
      <c r="P10" s="36"/>
      <c r="Q10" s="37"/>
    </row>
    <row r="11" spans="1:20" x14ac:dyDescent="0.3">
      <c r="A11" s="1">
        <v>45272</v>
      </c>
      <c r="B11" t="s">
        <v>51</v>
      </c>
      <c r="C11" t="s">
        <v>4</v>
      </c>
      <c r="E11">
        <v>1</v>
      </c>
      <c r="F11">
        <v>3</v>
      </c>
      <c r="G11" s="4">
        <v>0</v>
      </c>
      <c r="I11" t="s">
        <v>10</v>
      </c>
      <c r="J11" t="s">
        <v>147</v>
      </c>
      <c r="M11" s="8" t="s">
        <v>15</v>
      </c>
      <c r="N11" s="8" t="s">
        <v>16</v>
      </c>
      <c r="O11" s="8" t="s">
        <v>17</v>
      </c>
      <c r="P11" s="8" t="s">
        <v>18</v>
      </c>
      <c r="Q11" s="8" t="s">
        <v>19</v>
      </c>
    </row>
    <row r="12" spans="1:20" x14ac:dyDescent="0.3">
      <c r="A12" s="1">
        <v>45610</v>
      </c>
      <c r="B12" t="s">
        <v>25</v>
      </c>
      <c r="C12" t="s">
        <v>3</v>
      </c>
      <c r="D12" s="3">
        <v>302</v>
      </c>
      <c r="I12" t="s">
        <v>10</v>
      </c>
      <c r="J12" t="s">
        <v>151</v>
      </c>
      <c r="M12" s="10" t="s">
        <v>13</v>
      </c>
      <c r="N12" s="11" t="s">
        <v>34</v>
      </c>
      <c r="O12" s="12">
        <v>425</v>
      </c>
      <c r="P12" s="12">
        <v>516</v>
      </c>
      <c r="Q12" s="12">
        <v>360</v>
      </c>
    </row>
    <row r="13" spans="1:20" x14ac:dyDescent="0.3">
      <c r="A13" s="1"/>
      <c r="M13" s="10" t="s">
        <v>20</v>
      </c>
      <c r="N13" s="11" t="s">
        <v>21</v>
      </c>
      <c r="O13" s="12">
        <v>272</v>
      </c>
      <c r="P13" s="12">
        <v>330</v>
      </c>
      <c r="Q13" s="12">
        <v>119</v>
      </c>
    </row>
    <row r="14" spans="1:20" x14ac:dyDescent="0.3">
      <c r="A14" s="1"/>
      <c r="M14" s="10" t="s">
        <v>22</v>
      </c>
      <c r="N14" s="11" t="s">
        <v>23</v>
      </c>
      <c r="O14" s="12">
        <v>425</v>
      </c>
      <c r="P14" s="12">
        <v>507</v>
      </c>
      <c r="Q14" s="12" t="s">
        <v>24</v>
      </c>
    </row>
    <row r="15" spans="1:20" x14ac:dyDescent="0.3">
      <c r="A15" s="1"/>
      <c r="M15" s="10" t="s">
        <v>25</v>
      </c>
      <c r="N15" s="11" t="s">
        <v>26</v>
      </c>
      <c r="O15" s="12">
        <v>425</v>
      </c>
      <c r="P15" s="12">
        <v>515</v>
      </c>
      <c r="Q15" s="12" t="s">
        <v>24</v>
      </c>
    </row>
    <row r="16" spans="1:20" x14ac:dyDescent="0.3">
      <c r="A16" s="1"/>
      <c r="M16" s="10" t="s">
        <v>27</v>
      </c>
      <c r="N16" s="11" t="s">
        <v>28</v>
      </c>
      <c r="O16" s="12">
        <v>272</v>
      </c>
      <c r="P16" s="12">
        <v>354</v>
      </c>
      <c r="Q16" s="12">
        <v>196</v>
      </c>
    </row>
    <row r="17" spans="1:29" x14ac:dyDescent="0.3">
      <c r="A17" s="1"/>
      <c r="M17" s="10" t="s">
        <v>29</v>
      </c>
      <c r="N17" s="11" t="s">
        <v>30</v>
      </c>
      <c r="O17" s="12">
        <v>272</v>
      </c>
      <c r="P17" s="12">
        <v>333</v>
      </c>
      <c r="Q17" s="12">
        <v>220</v>
      </c>
    </row>
    <row r="18" spans="1:29" x14ac:dyDescent="0.3">
      <c r="A18" s="1"/>
    </row>
    <row r="19" spans="1:29" x14ac:dyDescent="0.3">
      <c r="A19" s="1"/>
      <c r="M19" s="35" t="s">
        <v>55</v>
      </c>
      <c r="N19" s="36"/>
      <c r="O19" s="36"/>
      <c r="P19" s="36"/>
      <c r="Q19" s="37"/>
      <c r="W19" s="48" t="s">
        <v>62</v>
      </c>
      <c r="X19" s="48"/>
      <c r="Y19" s="48"/>
      <c r="Z19" s="48"/>
      <c r="AA19" s="48"/>
      <c r="AB19" s="48"/>
      <c r="AC19" s="48"/>
    </row>
    <row r="20" spans="1:29" x14ac:dyDescent="0.3">
      <c r="M20" s="8" t="s">
        <v>15</v>
      </c>
      <c r="N20" s="8" t="s">
        <v>16</v>
      </c>
      <c r="O20" s="8" t="s">
        <v>17</v>
      </c>
      <c r="P20" s="8" t="s">
        <v>18</v>
      </c>
      <c r="Q20" s="8" t="s">
        <v>19</v>
      </c>
      <c r="W20" s="8" t="s">
        <v>36</v>
      </c>
      <c r="X20" s="8" t="s">
        <v>13</v>
      </c>
      <c r="Y20" s="8" t="s">
        <v>37</v>
      </c>
      <c r="Z20" s="8" t="s">
        <v>22</v>
      </c>
      <c r="AA20" s="8" t="s">
        <v>25</v>
      </c>
      <c r="AB20" s="8" t="s">
        <v>27</v>
      </c>
      <c r="AC20" s="8" t="s">
        <v>29</v>
      </c>
    </row>
    <row r="21" spans="1:29" x14ac:dyDescent="0.3">
      <c r="A21" s="1"/>
      <c r="M21" s="10" t="s">
        <v>13</v>
      </c>
      <c r="N21" s="11" t="s">
        <v>56</v>
      </c>
      <c r="O21" s="12">
        <v>425</v>
      </c>
      <c r="P21" s="12">
        <v>535</v>
      </c>
      <c r="Q21" s="12">
        <v>261</v>
      </c>
      <c r="W21" s="10" t="s">
        <v>63</v>
      </c>
      <c r="X21" s="12" t="s">
        <v>24</v>
      </c>
      <c r="Y21" s="12" t="s">
        <v>24</v>
      </c>
      <c r="Z21" s="12" t="s">
        <v>24</v>
      </c>
      <c r="AA21" s="12" t="s">
        <v>24</v>
      </c>
      <c r="AB21" s="12" t="s">
        <v>24</v>
      </c>
      <c r="AC21" s="12" t="s">
        <v>24</v>
      </c>
    </row>
    <row r="22" spans="1:29" x14ac:dyDescent="0.3">
      <c r="A22" s="1"/>
      <c r="M22" s="10" t="s">
        <v>20</v>
      </c>
      <c r="N22" s="11" t="s">
        <v>57</v>
      </c>
      <c r="O22" s="12">
        <v>274</v>
      </c>
      <c r="P22" s="12">
        <v>356</v>
      </c>
      <c r="Q22" s="12">
        <v>130</v>
      </c>
      <c r="W22" s="10" t="s">
        <v>40</v>
      </c>
      <c r="X22" s="12">
        <v>42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3">
      <c r="A23" s="1"/>
      <c r="M23" s="10" t="s">
        <v>22</v>
      </c>
      <c r="N23" s="11" t="s">
        <v>58</v>
      </c>
      <c r="O23" s="12">
        <v>425</v>
      </c>
      <c r="P23" s="12">
        <v>540</v>
      </c>
      <c r="Q23" s="12">
        <v>319</v>
      </c>
      <c r="W23" s="10" t="s">
        <v>41</v>
      </c>
      <c r="X23" s="12">
        <v>0</v>
      </c>
      <c r="Y23" s="12" t="s">
        <v>24</v>
      </c>
      <c r="Z23" s="12" t="s">
        <v>24</v>
      </c>
      <c r="AA23" s="12" t="s">
        <v>24</v>
      </c>
      <c r="AB23" s="12">
        <v>0</v>
      </c>
      <c r="AC23" s="12">
        <v>0</v>
      </c>
    </row>
    <row r="24" spans="1:29" x14ac:dyDescent="0.3">
      <c r="A24" s="1"/>
      <c r="M24" s="10" t="s">
        <v>25</v>
      </c>
      <c r="N24" s="11" t="s">
        <v>59</v>
      </c>
      <c r="O24" s="12">
        <v>425</v>
      </c>
      <c r="P24" s="12">
        <v>528</v>
      </c>
      <c r="Q24" s="12" t="s">
        <v>24</v>
      </c>
      <c r="W24" s="10" t="s">
        <v>64</v>
      </c>
      <c r="X24" s="12">
        <v>116</v>
      </c>
      <c r="Y24" s="12">
        <v>540</v>
      </c>
      <c r="Z24" s="12">
        <v>2</v>
      </c>
      <c r="AA24" s="12">
        <v>2</v>
      </c>
      <c r="AB24" s="12">
        <v>11</v>
      </c>
      <c r="AC24" s="12">
        <v>3</v>
      </c>
    </row>
    <row r="25" spans="1:29" x14ac:dyDescent="0.3">
      <c r="A25" s="1"/>
      <c r="M25" s="10" t="s">
        <v>27</v>
      </c>
      <c r="N25" s="11" t="s">
        <v>60</v>
      </c>
      <c r="O25" s="12">
        <v>272</v>
      </c>
      <c r="P25" s="12">
        <v>427</v>
      </c>
      <c r="Q25" s="12">
        <v>301</v>
      </c>
      <c r="W25" s="10" t="s">
        <v>65</v>
      </c>
      <c r="X25" s="12">
        <v>25</v>
      </c>
      <c r="Y25" s="12">
        <v>8</v>
      </c>
      <c r="Z25" s="12">
        <v>6</v>
      </c>
      <c r="AA25" s="12">
        <v>15</v>
      </c>
      <c r="AB25" s="12">
        <v>24</v>
      </c>
      <c r="AC25" s="12">
        <v>9</v>
      </c>
    </row>
    <row r="26" spans="1:29" x14ac:dyDescent="0.3">
      <c r="M26" s="10" t="s">
        <v>29</v>
      </c>
      <c r="N26" s="11" t="s">
        <v>61</v>
      </c>
      <c r="O26" s="12" t="s">
        <v>24</v>
      </c>
      <c r="P26" s="12" t="s">
        <v>24</v>
      </c>
      <c r="Q26" s="12">
        <v>207</v>
      </c>
      <c r="W26" s="10" t="s">
        <v>66</v>
      </c>
      <c r="X26" s="12" t="s">
        <v>24</v>
      </c>
      <c r="Y26" s="12" t="s">
        <v>24</v>
      </c>
      <c r="Z26" s="12" t="s">
        <v>24</v>
      </c>
      <c r="AA26" s="12" t="s">
        <v>24</v>
      </c>
      <c r="AB26" s="12" t="s">
        <v>24</v>
      </c>
      <c r="AC26" s="12" t="s">
        <v>24</v>
      </c>
    </row>
    <row r="28" spans="1:29" ht="17.399999999999999" x14ac:dyDescent="0.3">
      <c r="M28" s="34" t="s">
        <v>78</v>
      </c>
      <c r="N28" s="34"/>
      <c r="O28" s="34"/>
      <c r="P28" s="34"/>
      <c r="Q28" s="34"/>
      <c r="R28" s="34"/>
      <c r="S28" s="34"/>
    </row>
    <row r="29" spans="1:29" x14ac:dyDescent="0.3">
      <c r="M29" s="13" t="s">
        <v>36</v>
      </c>
      <c r="N29" s="13" t="s">
        <v>13</v>
      </c>
      <c r="O29" s="13" t="s">
        <v>37</v>
      </c>
      <c r="P29" s="13" t="s">
        <v>22</v>
      </c>
      <c r="Q29" s="13" t="s">
        <v>25</v>
      </c>
      <c r="R29" s="13" t="s">
        <v>27</v>
      </c>
      <c r="S29" s="13" t="s">
        <v>29</v>
      </c>
    </row>
    <row r="30" spans="1:29" x14ac:dyDescent="0.3">
      <c r="M30" s="14" t="s">
        <v>63</v>
      </c>
      <c r="N30" s="15" t="s">
        <v>24</v>
      </c>
      <c r="O30" s="15" t="s">
        <v>24</v>
      </c>
      <c r="P30" s="15" t="s">
        <v>24</v>
      </c>
      <c r="Q30" s="15" t="s">
        <v>24</v>
      </c>
      <c r="R30" s="15" t="s">
        <v>24</v>
      </c>
      <c r="S30" s="15" t="s">
        <v>24</v>
      </c>
    </row>
    <row r="31" spans="1:29" x14ac:dyDescent="0.3">
      <c r="M31" s="14" t="s">
        <v>40</v>
      </c>
      <c r="N31" s="15">
        <v>120</v>
      </c>
      <c r="O31" s="15" t="s">
        <v>24</v>
      </c>
      <c r="P31" s="15">
        <v>0</v>
      </c>
      <c r="Q31" s="15">
        <v>0</v>
      </c>
      <c r="R31" s="15" t="s">
        <v>24</v>
      </c>
      <c r="S31" s="15">
        <v>0</v>
      </c>
    </row>
    <row r="32" spans="1:29" x14ac:dyDescent="0.3">
      <c r="M32" s="14" t="s">
        <v>41</v>
      </c>
      <c r="N32" s="15" t="s">
        <v>24</v>
      </c>
      <c r="O32" s="15" t="s">
        <v>24</v>
      </c>
      <c r="P32" s="15" t="s">
        <v>24</v>
      </c>
      <c r="Q32" s="15" t="s">
        <v>24</v>
      </c>
      <c r="R32" s="15">
        <v>0</v>
      </c>
      <c r="S32" s="15">
        <v>0</v>
      </c>
    </row>
    <row r="33" spans="13:29" x14ac:dyDescent="0.3">
      <c r="M33" s="14" t="s">
        <v>64</v>
      </c>
      <c r="N33" s="15">
        <v>7</v>
      </c>
      <c r="O33" s="15">
        <v>242</v>
      </c>
      <c r="P33" s="15">
        <v>1</v>
      </c>
      <c r="Q33" s="15">
        <v>0</v>
      </c>
      <c r="R33" s="15">
        <v>24</v>
      </c>
      <c r="S33" s="15">
        <v>5</v>
      </c>
    </row>
    <row r="34" spans="13:29" x14ac:dyDescent="0.3">
      <c r="M34" s="14" t="s">
        <v>65</v>
      </c>
      <c r="N34" s="15">
        <v>37</v>
      </c>
      <c r="O34" s="15">
        <v>77</v>
      </c>
      <c r="P34" s="15">
        <v>7</v>
      </c>
      <c r="Q34" s="15">
        <v>15</v>
      </c>
      <c r="R34" s="15">
        <v>94</v>
      </c>
      <c r="S34" s="15">
        <v>79</v>
      </c>
    </row>
    <row r="35" spans="13:29" x14ac:dyDescent="0.3">
      <c r="M35" s="14" t="s">
        <v>66</v>
      </c>
      <c r="N35" s="15" t="s">
        <v>24</v>
      </c>
      <c r="O35" s="15" t="s">
        <v>24</v>
      </c>
      <c r="P35" s="15" t="s">
        <v>24</v>
      </c>
      <c r="Q35" s="15" t="s">
        <v>24</v>
      </c>
      <c r="R35" s="15" t="s">
        <v>24</v>
      </c>
      <c r="S35" s="15" t="s">
        <v>24</v>
      </c>
    </row>
    <row r="37" spans="13:29" ht="17.399999999999999" x14ac:dyDescent="0.3">
      <c r="M37" s="31" t="s">
        <v>85</v>
      </c>
      <c r="N37" s="32"/>
      <c r="O37" s="32"/>
      <c r="P37" s="32"/>
      <c r="Q37" s="33"/>
      <c r="W37" s="34" t="s">
        <v>84</v>
      </c>
      <c r="X37" s="34"/>
      <c r="Y37" s="34"/>
      <c r="Z37" s="34"/>
      <c r="AA37" s="34"/>
      <c r="AB37" s="34"/>
      <c r="AC37" s="34"/>
    </row>
    <row r="38" spans="13:29" ht="26.4" x14ac:dyDescent="0.3">
      <c r="M38" s="8" t="s">
        <v>15</v>
      </c>
      <c r="N38" s="9" t="s">
        <v>16</v>
      </c>
      <c r="O38" s="9" t="s">
        <v>17</v>
      </c>
      <c r="P38" s="9" t="s">
        <v>18</v>
      </c>
      <c r="Q38" s="9" t="s">
        <v>19</v>
      </c>
      <c r="W38" s="13" t="s">
        <v>36</v>
      </c>
      <c r="X38" s="13" t="s">
        <v>13</v>
      </c>
      <c r="Y38" s="13" t="s">
        <v>37</v>
      </c>
      <c r="Z38" s="13" t="s">
        <v>22</v>
      </c>
      <c r="AA38" s="13" t="s">
        <v>25</v>
      </c>
      <c r="AB38" s="13" t="s">
        <v>27</v>
      </c>
      <c r="AC38" s="13" t="s">
        <v>29</v>
      </c>
    </row>
    <row r="39" spans="13:29" x14ac:dyDescent="0.3">
      <c r="M39" s="14" t="s">
        <v>13</v>
      </c>
      <c r="N39" s="16" t="s">
        <v>86</v>
      </c>
      <c r="O39" s="15">
        <v>435</v>
      </c>
      <c r="P39" s="15">
        <v>538</v>
      </c>
      <c r="Q39" s="15">
        <v>256</v>
      </c>
      <c r="W39" s="14" t="s">
        <v>63</v>
      </c>
      <c r="X39" s="15" t="s">
        <v>24</v>
      </c>
      <c r="Y39" s="15" t="s">
        <v>24</v>
      </c>
      <c r="Z39" s="15" t="s">
        <v>24</v>
      </c>
      <c r="AA39" s="15" t="s">
        <v>24</v>
      </c>
      <c r="AB39" s="15" t="s">
        <v>24</v>
      </c>
      <c r="AC39" s="15" t="s">
        <v>24</v>
      </c>
    </row>
    <row r="40" spans="13:29" x14ac:dyDescent="0.3">
      <c r="M40" s="14" t="s">
        <v>20</v>
      </c>
      <c r="N40" s="16" t="s">
        <v>87</v>
      </c>
      <c r="O40" s="15" t="s">
        <v>24</v>
      </c>
      <c r="P40" s="15" t="s">
        <v>24</v>
      </c>
      <c r="Q40" s="15">
        <v>175</v>
      </c>
      <c r="W40" s="14" t="s">
        <v>40</v>
      </c>
      <c r="X40" s="15">
        <v>19</v>
      </c>
      <c r="Y40" s="15" t="s">
        <v>24</v>
      </c>
      <c r="Z40" s="15">
        <v>1</v>
      </c>
      <c r="AA40" s="15">
        <v>0</v>
      </c>
      <c r="AB40" s="15" t="s">
        <v>24</v>
      </c>
      <c r="AC40" s="15" t="s">
        <v>24</v>
      </c>
    </row>
    <row r="41" spans="13:29" x14ac:dyDescent="0.3">
      <c r="M41" s="14" t="s">
        <v>22</v>
      </c>
      <c r="N41" s="16" t="s">
        <v>88</v>
      </c>
      <c r="O41" s="15">
        <v>428</v>
      </c>
      <c r="P41" s="15">
        <v>561</v>
      </c>
      <c r="Q41" s="15">
        <v>319</v>
      </c>
      <c r="W41" s="14" t="s">
        <v>41</v>
      </c>
      <c r="X41" s="15" t="s">
        <v>24</v>
      </c>
      <c r="Y41" s="15" t="s">
        <v>24</v>
      </c>
      <c r="Z41" s="15" t="s">
        <v>24</v>
      </c>
      <c r="AA41" s="15" t="s">
        <v>24</v>
      </c>
      <c r="AB41" s="15" t="s">
        <v>24</v>
      </c>
      <c r="AC41" s="15">
        <v>0</v>
      </c>
    </row>
    <row r="42" spans="13:29" x14ac:dyDescent="0.3">
      <c r="M42" s="14" t="s">
        <v>25</v>
      </c>
      <c r="N42" s="16" t="s">
        <v>89</v>
      </c>
      <c r="O42" s="15">
        <v>425</v>
      </c>
      <c r="P42" s="15">
        <v>562</v>
      </c>
      <c r="Q42" s="15">
        <v>564</v>
      </c>
      <c r="W42" s="14" t="s">
        <v>64</v>
      </c>
      <c r="X42" s="15">
        <v>35</v>
      </c>
      <c r="Y42" s="15">
        <v>20</v>
      </c>
      <c r="Z42" s="15">
        <v>0</v>
      </c>
      <c r="AA42" s="15">
        <v>0</v>
      </c>
      <c r="AB42" s="15">
        <v>0</v>
      </c>
      <c r="AC42" s="15">
        <v>21</v>
      </c>
    </row>
    <row r="43" spans="13:29" x14ac:dyDescent="0.3">
      <c r="M43" s="14" t="s">
        <v>27</v>
      </c>
      <c r="N43" s="16">
        <v>0</v>
      </c>
      <c r="O43" s="15" t="s">
        <v>24</v>
      </c>
      <c r="P43" s="15" t="s">
        <v>24</v>
      </c>
      <c r="Q43" s="15" t="s">
        <v>24</v>
      </c>
      <c r="W43" s="14" t="s">
        <v>65</v>
      </c>
      <c r="X43" s="15">
        <v>48</v>
      </c>
      <c r="Y43" s="15">
        <v>18</v>
      </c>
      <c r="Z43" s="15">
        <v>19</v>
      </c>
      <c r="AA43" s="15">
        <v>10</v>
      </c>
      <c r="AB43" s="15">
        <v>0</v>
      </c>
      <c r="AC43" s="15">
        <v>69</v>
      </c>
    </row>
    <row r="44" spans="13:29" x14ac:dyDescent="0.3">
      <c r="M44" s="14" t="s">
        <v>29</v>
      </c>
      <c r="N44" s="16" t="s">
        <v>90</v>
      </c>
      <c r="O44" s="15">
        <v>268</v>
      </c>
      <c r="P44" s="15">
        <v>403</v>
      </c>
      <c r="Q44" s="15">
        <v>244</v>
      </c>
      <c r="W44" s="14" t="s">
        <v>66</v>
      </c>
      <c r="X44" s="15" t="s">
        <v>24</v>
      </c>
      <c r="Y44" s="15" t="s">
        <v>24</v>
      </c>
      <c r="Z44" s="15" t="s">
        <v>24</v>
      </c>
      <c r="AA44" s="15" t="s">
        <v>24</v>
      </c>
      <c r="AB44" s="15" t="s">
        <v>24</v>
      </c>
      <c r="AC44" s="15" t="s">
        <v>24</v>
      </c>
    </row>
    <row r="46" spans="13:29" x14ac:dyDescent="0.3">
      <c r="M46" s="35" t="s">
        <v>108</v>
      </c>
      <c r="N46" s="36"/>
      <c r="O46" s="36"/>
      <c r="P46" s="36"/>
      <c r="Q46" s="37"/>
    </row>
    <row r="47" spans="13:29" ht="26.4" x14ac:dyDescent="0.3">
      <c r="M47" s="8" t="s">
        <v>15</v>
      </c>
      <c r="N47" s="9" t="s">
        <v>16</v>
      </c>
      <c r="O47" s="9" t="s">
        <v>17</v>
      </c>
      <c r="P47" s="9" t="s">
        <v>18</v>
      </c>
      <c r="Q47" s="9" t="s">
        <v>19</v>
      </c>
    </row>
    <row r="48" spans="13:29" x14ac:dyDescent="0.3">
      <c r="M48" s="10" t="s">
        <v>13</v>
      </c>
      <c r="N48" s="11" t="s">
        <v>109</v>
      </c>
      <c r="O48" s="12">
        <v>441</v>
      </c>
      <c r="P48" s="12">
        <v>549</v>
      </c>
      <c r="Q48" s="12">
        <v>282</v>
      </c>
    </row>
    <row r="49" spans="13:17" x14ac:dyDescent="0.3">
      <c r="M49" s="10" t="s">
        <v>20</v>
      </c>
      <c r="N49" s="11" t="s">
        <v>110</v>
      </c>
      <c r="O49" s="12" t="s">
        <v>24</v>
      </c>
      <c r="P49" s="12" t="s">
        <v>24</v>
      </c>
      <c r="Q49" s="12">
        <v>226</v>
      </c>
    </row>
    <row r="50" spans="13:17" x14ac:dyDescent="0.3">
      <c r="M50" s="10" t="s">
        <v>22</v>
      </c>
      <c r="N50" s="11" t="s">
        <v>111</v>
      </c>
      <c r="O50" s="12">
        <v>428</v>
      </c>
      <c r="P50" s="12">
        <v>555</v>
      </c>
      <c r="Q50" s="12">
        <v>456</v>
      </c>
    </row>
    <row r="51" spans="13:17" x14ac:dyDescent="0.3">
      <c r="M51" s="10" t="s">
        <v>25</v>
      </c>
      <c r="N51" s="11" t="s">
        <v>112</v>
      </c>
      <c r="O51" s="12">
        <v>441</v>
      </c>
      <c r="P51" s="12">
        <v>561</v>
      </c>
      <c r="Q51" s="12">
        <v>483</v>
      </c>
    </row>
    <row r="52" spans="13:17" x14ac:dyDescent="0.3">
      <c r="M52" s="10" t="s">
        <v>27</v>
      </c>
      <c r="N52" s="11">
        <v>0</v>
      </c>
      <c r="O52" s="12" t="s">
        <v>24</v>
      </c>
      <c r="P52" s="12" t="s">
        <v>24</v>
      </c>
      <c r="Q52" s="12" t="s">
        <v>24</v>
      </c>
    </row>
    <row r="53" spans="13:17" x14ac:dyDescent="0.3">
      <c r="M53" s="10" t="s">
        <v>29</v>
      </c>
      <c r="N53" s="11" t="s">
        <v>113</v>
      </c>
      <c r="O53" s="12">
        <v>259</v>
      </c>
      <c r="P53" s="12">
        <v>417</v>
      </c>
      <c r="Q53" s="12">
        <v>289</v>
      </c>
    </row>
    <row r="54" spans="13:17" x14ac:dyDescent="0.3">
      <c r="M54" s="14" t="s">
        <v>29</v>
      </c>
      <c r="N54" s="16" t="s">
        <v>107</v>
      </c>
      <c r="O54" s="15">
        <v>265</v>
      </c>
      <c r="P54" s="15">
        <v>387</v>
      </c>
      <c r="Q54" s="15">
        <v>305</v>
      </c>
    </row>
    <row r="56" spans="13:17" ht="17.399999999999999" x14ac:dyDescent="0.3">
      <c r="M56" s="38" t="s">
        <v>97</v>
      </c>
      <c r="N56" s="39"/>
      <c r="O56" s="39"/>
      <c r="P56" s="39"/>
      <c r="Q56" s="40"/>
    </row>
    <row r="57" spans="13:17" x14ac:dyDescent="0.3">
      <c r="M57" s="17"/>
      <c r="N57" s="18"/>
      <c r="O57" s="18"/>
      <c r="P57" s="18"/>
      <c r="Q57" s="19"/>
    </row>
    <row r="58" spans="13:17" ht="26.4" x14ac:dyDescent="0.3">
      <c r="M58" s="20" t="s">
        <v>15</v>
      </c>
      <c r="N58" s="21" t="s">
        <v>16</v>
      </c>
      <c r="O58" s="21" t="s">
        <v>98</v>
      </c>
      <c r="P58" s="21" t="s">
        <v>99</v>
      </c>
      <c r="Q58" s="21" t="s">
        <v>19</v>
      </c>
    </row>
    <row r="59" spans="13:17" x14ac:dyDescent="0.3">
      <c r="M59" s="14" t="s">
        <v>13</v>
      </c>
      <c r="N59" s="16" t="s">
        <v>100</v>
      </c>
      <c r="O59" s="15" t="s">
        <v>24</v>
      </c>
      <c r="P59" s="15" t="s">
        <v>24</v>
      </c>
      <c r="Q59" s="15">
        <v>276</v>
      </c>
    </row>
    <row r="60" spans="13:17" x14ac:dyDescent="0.3">
      <c r="M60" s="14" t="s">
        <v>20</v>
      </c>
      <c r="N60" s="16">
        <v>0</v>
      </c>
      <c r="O60" s="15" t="s">
        <v>24</v>
      </c>
      <c r="P60" s="15" t="s">
        <v>24</v>
      </c>
      <c r="Q60" s="15" t="s">
        <v>24</v>
      </c>
    </row>
    <row r="61" spans="13:17" x14ac:dyDescent="0.3">
      <c r="M61" s="14" t="s">
        <v>22</v>
      </c>
      <c r="N61" s="16" t="s">
        <v>101</v>
      </c>
      <c r="O61" s="15">
        <v>441</v>
      </c>
      <c r="P61" s="15">
        <v>581</v>
      </c>
      <c r="Q61" s="15" t="s">
        <v>24</v>
      </c>
    </row>
    <row r="62" spans="13:17" x14ac:dyDescent="0.3">
      <c r="M62" s="14" t="s">
        <v>25</v>
      </c>
      <c r="N62" s="16" t="s">
        <v>102</v>
      </c>
      <c r="O62" s="15" t="s">
        <v>24</v>
      </c>
      <c r="P62" s="15" t="s">
        <v>24</v>
      </c>
      <c r="Q62" s="15">
        <v>457</v>
      </c>
    </row>
    <row r="63" spans="13:17" x14ac:dyDescent="0.3">
      <c r="M63" s="14" t="s">
        <v>27</v>
      </c>
      <c r="N63" s="16" t="s">
        <v>103</v>
      </c>
      <c r="O63" s="15" t="s">
        <v>104</v>
      </c>
      <c r="P63" s="15" t="s">
        <v>105</v>
      </c>
      <c r="Q63" s="15" t="s">
        <v>106</v>
      </c>
    </row>
    <row r="64" spans="13:17" x14ac:dyDescent="0.3">
      <c r="M64" s="14" t="s">
        <v>29</v>
      </c>
      <c r="N64" s="16" t="s">
        <v>107</v>
      </c>
      <c r="O64" s="15">
        <v>265</v>
      </c>
      <c r="P64" s="15">
        <v>387</v>
      </c>
      <c r="Q64" s="15">
        <v>305</v>
      </c>
    </row>
    <row r="66" spans="13:16" x14ac:dyDescent="0.3">
      <c r="M66" s="41" t="s">
        <v>126</v>
      </c>
      <c r="N66" s="42"/>
      <c r="O66" s="42"/>
      <c r="P66" s="43"/>
    </row>
    <row r="67" spans="13:16" x14ac:dyDescent="0.3">
      <c r="M67" s="44"/>
      <c r="N67" s="45"/>
      <c r="O67" s="45"/>
      <c r="P67" s="46"/>
    </row>
    <row r="68" spans="13:16" ht="39.6" x14ac:dyDescent="0.3">
      <c r="M68" s="20" t="s">
        <v>15</v>
      </c>
      <c r="N68" s="21" t="s">
        <v>127</v>
      </c>
      <c r="O68" s="21" t="s">
        <v>128</v>
      </c>
      <c r="P68" s="21" t="s">
        <v>129</v>
      </c>
    </row>
    <row r="69" spans="13:16" x14ac:dyDescent="0.3">
      <c r="M69" s="14" t="s">
        <v>13</v>
      </c>
      <c r="N69" s="16" t="s">
        <v>130</v>
      </c>
      <c r="O69" s="15">
        <v>51</v>
      </c>
      <c r="P69" s="15" t="s">
        <v>131</v>
      </c>
    </row>
    <row r="70" spans="13:16" x14ac:dyDescent="0.3">
      <c r="M70" s="14" t="s">
        <v>22</v>
      </c>
      <c r="N70" s="16" t="s">
        <v>132</v>
      </c>
      <c r="O70" s="15">
        <v>1</v>
      </c>
      <c r="P70" s="15" t="s">
        <v>133</v>
      </c>
    </row>
    <row r="71" spans="13:16" ht="15" thickBot="1" x14ac:dyDescent="0.35">
      <c r="M71" s="24" t="s">
        <v>25</v>
      </c>
      <c r="N71" s="25" t="s">
        <v>134</v>
      </c>
      <c r="O71" s="26">
        <v>3</v>
      </c>
      <c r="P71" s="26" t="s">
        <v>132</v>
      </c>
    </row>
    <row r="72" spans="13:16" x14ac:dyDescent="0.3">
      <c r="M72" s="27"/>
      <c r="N72" s="28" t="s">
        <v>135</v>
      </c>
      <c r="O72" s="29">
        <v>0.84615384615384615</v>
      </c>
      <c r="P72" s="30">
        <v>0.15384615384615385</v>
      </c>
    </row>
    <row r="74" spans="13:16" x14ac:dyDescent="0.3">
      <c r="M74" s="41" t="s">
        <v>136</v>
      </c>
      <c r="N74" s="42"/>
      <c r="O74" s="42"/>
      <c r="P74" s="43"/>
    </row>
    <row r="75" spans="13:16" x14ac:dyDescent="0.3">
      <c r="M75" s="44"/>
      <c r="N75" s="45"/>
      <c r="O75" s="45"/>
      <c r="P75" s="46"/>
    </row>
    <row r="76" spans="13:16" ht="39.6" x14ac:dyDescent="0.3">
      <c r="M76" s="20" t="s">
        <v>15</v>
      </c>
      <c r="N76" s="21" t="s">
        <v>127</v>
      </c>
      <c r="O76" s="21" t="s">
        <v>128</v>
      </c>
      <c r="P76" s="21" t="s">
        <v>129</v>
      </c>
    </row>
    <row r="77" spans="13:16" x14ac:dyDescent="0.3">
      <c r="M77" s="14" t="s">
        <v>20</v>
      </c>
      <c r="N77" s="16" t="s">
        <v>137</v>
      </c>
      <c r="O77" s="15">
        <v>412</v>
      </c>
      <c r="P77" s="15" t="s">
        <v>138</v>
      </c>
    </row>
    <row r="78" spans="13:16" x14ac:dyDescent="0.3">
      <c r="M78" s="14" t="s">
        <v>27</v>
      </c>
      <c r="N78" s="16" t="s">
        <v>139</v>
      </c>
      <c r="O78" s="15">
        <v>8</v>
      </c>
      <c r="P78" s="15" t="s">
        <v>140</v>
      </c>
    </row>
    <row r="79" spans="13:16" x14ac:dyDescent="0.3">
      <c r="M79" s="14" t="s">
        <v>29</v>
      </c>
      <c r="N79" s="16" t="s">
        <v>100</v>
      </c>
      <c r="O79" s="15">
        <v>47</v>
      </c>
      <c r="P79" s="15" t="s">
        <v>141</v>
      </c>
    </row>
    <row r="80" spans="13:16" x14ac:dyDescent="0.3">
      <c r="M80" s="27"/>
      <c r="N80" s="28" t="s">
        <v>142</v>
      </c>
      <c r="O80" s="29">
        <v>0.71846153846153848</v>
      </c>
      <c r="P80" s="30">
        <v>0.28153846153846152</v>
      </c>
    </row>
  </sheetData>
  <mergeCells count="11">
    <mergeCell ref="M4:T4"/>
    <mergeCell ref="M10:Q10"/>
    <mergeCell ref="M19:Q19"/>
    <mergeCell ref="W19:AC19"/>
    <mergeCell ref="M74:P75"/>
    <mergeCell ref="M28:S28"/>
    <mergeCell ref="M37:Q37"/>
    <mergeCell ref="W37:AC37"/>
    <mergeCell ref="M46:Q46"/>
    <mergeCell ref="M56:Q56"/>
    <mergeCell ref="M66:P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4CB3-2BB4-427A-BF7B-BCD6E63E305B}">
  <dimension ref="A1:AC79"/>
  <sheetViews>
    <sheetView workbookViewId="0">
      <selection activeCell="J22" sqref="J22"/>
    </sheetView>
  </sheetViews>
  <sheetFormatPr defaultRowHeight="14.4" x14ac:dyDescent="0.3"/>
  <cols>
    <col min="1" max="1" width="10.33203125" bestFit="1" customWidth="1"/>
    <col min="2" max="2" width="8.6640625" bestFit="1" customWidth="1"/>
    <col min="3" max="3" width="7.6640625" bestFit="1" customWidth="1"/>
    <col min="4" max="4" width="7.88671875" style="3" bestFit="1" customWidth="1"/>
    <col min="5" max="5" width="9.44140625" customWidth="1"/>
    <col min="6" max="6" width="8.109375" customWidth="1"/>
    <col min="7" max="7" width="9.109375" style="4" customWidth="1"/>
    <col min="8" max="8" width="6.44140625" customWidth="1"/>
    <col min="9" max="9" width="5" style="23" customWidth="1"/>
    <col min="10" max="10" width="99.6640625" bestFit="1" customWidth="1"/>
    <col min="13" max="13" width="12.33203125" bestFit="1" customWidth="1"/>
    <col min="14" max="14" width="27.109375" bestFit="1" customWidth="1"/>
    <col min="15" max="15" width="26.6640625" bestFit="1" customWidth="1"/>
    <col min="16" max="16" width="26.77734375" bestFit="1" customWidth="1"/>
    <col min="17" max="17" width="23.33203125" bestFit="1" customWidth="1"/>
    <col min="18" max="19" width="7.109375" bestFit="1" customWidth="1"/>
    <col min="20" max="20" width="5.44140625" bestFit="1" customWidth="1"/>
  </cols>
  <sheetData>
    <row r="1" spans="1:20" s="2" customFormat="1" ht="61.8" customHeight="1" thickBot="1" x14ac:dyDescent="0.35">
      <c r="A1" s="5" t="s">
        <v>0</v>
      </c>
      <c r="B1" s="5" t="s">
        <v>1</v>
      </c>
      <c r="C1" s="5" t="s">
        <v>2</v>
      </c>
      <c r="D1" s="6" t="s">
        <v>5</v>
      </c>
      <c r="E1" s="5" t="s">
        <v>8</v>
      </c>
      <c r="F1" s="5" t="s">
        <v>7</v>
      </c>
      <c r="G1" s="7" t="s">
        <v>6</v>
      </c>
      <c r="H1" s="5" t="s">
        <v>12</v>
      </c>
      <c r="I1" s="22" t="s">
        <v>9</v>
      </c>
      <c r="J1" s="5" t="s">
        <v>11</v>
      </c>
      <c r="K1" s="5"/>
      <c r="L1" s="5"/>
      <c r="M1" s="5"/>
      <c r="N1" s="5"/>
    </row>
    <row r="2" spans="1:20" x14ac:dyDescent="0.3">
      <c r="A2" s="1">
        <v>42815</v>
      </c>
      <c r="B2" t="s">
        <v>27</v>
      </c>
      <c r="C2" t="s">
        <v>3</v>
      </c>
      <c r="D2" s="3">
        <v>300</v>
      </c>
      <c r="I2" s="23" t="s">
        <v>10</v>
      </c>
    </row>
    <row r="3" spans="1:20" x14ac:dyDescent="0.3">
      <c r="A3" s="1">
        <v>43081</v>
      </c>
      <c r="B3" t="s">
        <v>27</v>
      </c>
      <c r="C3" t="s">
        <v>4</v>
      </c>
      <c r="E3">
        <v>3</v>
      </c>
      <c r="F3">
        <v>4</v>
      </c>
      <c r="G3" s="4">
        <v>6</v>
      </c>
      <c r="I3" s="23" t="s">
        <v>10</v>
      </c>
      <c r="J3" t="s">
        <v>156</v>
      </c>
      <c r="M3" t="s">
        <v>79</v>
      </c>
    </row>
    <row r="4" spans="1:20" x14ac:dyDescent="0.3">
      <c r="A4" s="1">
        <v>43187</v>
      </c>
      <c r="B4" t="s">
        <v>27</v>
      </c>
      <c r="C4" t="s">
        <v>4</v>
      </c>
      <c r="E4">
        <v>8</v>
      </c>
      <c r="F4">
        <v>9</v>
      </c>
      <c r="G4" s="4">
        <v>0</v>
      </c>
      <c r="I4" s="23" t="s">
        <v>10</v>
      </c>
      <c r="J4" t="s">
        <v>52</v>
      </c>
      <c r="M4" s="47" t="s">
        <v>35</v>
      </c>
      <c r="N4" s="47"/>
      <c r="O4" s="47"/>
      <c r="P4" s="47"/>
      <c r="Q4" s="47"/>
      <c r="R4" s="47"/>
      <c r="S4" s="47"/>
      <c r="T4" s="47"/>
    </row>
    <row r="5" spans="1:20" x14ac:dyDescent="0.3">
      <c r="A5" s="1">
        <v>43454</v>
      </c>
      <c r="B5" t="s">
        <v>27</v>
      </c>
      <c r="C5" t="s">
        <v>4</v>
      </c>
      <c r="E5">
        <v>3</v>
      </c>
      <c r="F5">
        <v>31</v>
      </c>
      <c r="G5" s="4">
        <v>0</v>
      </c>
      <c r="I5" s="23" t="s">
        <v>10</v>
      </c>
      <c r="J5" t="s">
        <v>75</v>
      </c>
      <c r="M5" s="8" t="s">
        <v>36</v>
      </c>
      <c r="N5" s="8" t="s">
        <v>13</v>
      </c>
      <c r="O5" s="8" t="s">
        <v>37</v>
      </c>
      <c r="P5" s="8" t="s">
        <v>22</v>
      </c>
      <c r="Q5" s="8" t="s">
        <v>25</v>
      </c>
      <c r="R5" s="8" t="s">
        <v>27</v>
      </c>
      <c r="S5" s="8" t="s">
        <v>29</v>
      </c>
      <c r="T5" s="8" t="s">
        <v>38</v>
      </c>
    </row>
    <row r="6" spans="1:20" x14ac:dyDescent="0.3">
      <c r="A6" s="1">
        <v>43803</v>
      </c>
      <c r="B6" t="s">
        <v>27</v>
      </c>
      <c r="C6" t="s">
        <v>4</v>
      </c>
      <c r="E6">
        <v>4</v>
      </c>
      <c r="F6">
        <v>111</v>
      </c>
      <c r="G6" s="4">
        <v>2</v>
      </c>
      <c r="I6" s="23" t="s">
        <v>10</v>
      </c>
      <c r="J6" t="s">
        <v>82</v>
      </c>
      <c r="M6" s="10" t="s">
        <v>39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f>SUM(N6:S6)</f>
        <v>0</v>
      </c>
    </row>
    <row r="7" spans="1:20" x14ac:dyDescent="0.3">
      <c r="A7" s="1">
        <v>44228</v>
      </c>
      <c r="B7" t="s">
        <v>27</v>
      </c>
      <c r="C7" t="s">
        <v>4</v>
      </c>
      <c r="E7">
        <v>0</v>
      </c>
      <c r="F7">
        <v>0</v>
      </c>
      <c r="G7" s="4">
        <v>0</v>
      </c>
      <c r="I7" s="23" t="s">
        <v>10</v>
      </c>
      <c r="J7" t="s">
        <v>95</v>
      </c>
      <c r="M7" s="10" t="s">
        <v>40</v>
      </c>
      <c r="N7" s="11">
        <v>0</v>
      </c>
      <c r="O7" s="11">
        <v>87</v>
      </c>
      <c r="P7" s="11">
        <v>0</v>
      </c>
      <c r="Q7" s="11">
        <v>0</v>
      </c>
      <c r="R7" s="11">
        <v>0</v>
      </c>
      <c r="S7" s="11">
        <v>0</v>
      </c>
      <c r="T7" s="11">
        <f>SUM(N7:S7)</f>
        <v>87</v>
      </c>
    </row>
    <row r="8" spans="1:20" x14ac:dyDescent="0.3">
      <c r="A8" s="1">
        <v>44629</v>
      </c>
      <c r="B8" t="s">
        <v>27</v>
      </c>
      <c r="C8" t="s">
        <v>3</v>
      </c>
      <c r="D8" s="3">
        <v>300</v>
      </c>
      <c r="I8" s="23" t="s">
        <v>10</v>
      </c>
    </row>
    <row r="9" spans="1:20" x14ac:dyDescent="0.3">
      <c r="A9" s="1">
        <v>44909</v>
      </c>
      <c r="B9" t="s">
        <v>27</v>
      </c>
      <c r="C9" t="s">
        <v>4</v>
      </c>
      <c r="E9">
        <v>108</v>
      </c>
      <c r="F9">
        <v>3</v>
      </c>
      <c r="G9" s="4">
        <v>0</v>
      </c>
      <c r="H9">
        <v>11</v>
      </c>
      <c r="I9" s="23" t="s">
        <v>10</v>
      </c>
      <c r="J9" t="s">
        <v>124</v>
      </c>
      <c r="M9" s="35" t="s">
        <v>14</v>
      </c>
      <c r="N9" s="36"/>
      <c r="O9" s="36"/>
      <c r="P9" s="36"/>
      <c r="Q9" s="37"/>
    </row>
    <row r="10" spans="1:20" x14ac:dyDescent="0.3">
      <c r="A10" s="1">
        <v>45259</v>
      </c>
      <c r="B10" t="s">
        <v>143</v>
      </c>
      <c r="C10" t="s">
        <v>4</v>
      </c>
      <c r="E10">
        <v>70</v>
      </c>
      <c r="F10">
        <v>8</v>
      </c>
      <c r="G10" s="4">
        <v>0</v>
      </c>
      <c r="H10">
        <v>4</v>
      </c>
      <c r="I10" s="23" t="s">
        <v>10</v>
      </c>
      <c r="J10" t="s">
        <v>148</v>
      </c>
      <c r="M10" s="8" t="s">
        <v>15</v>
      </c>
      <c r="N10" s="8" t="s">
        <v>16</v>
      </c>
      <c r="O10" s="8" t="s">
        <v>17</v>
      </c>
      <c r="P10" s="8" t="s">
        <v>18</v>
      </c>
      <c r="Q10" s="8" t="s">
        <v>19</v>
      </c>
    </row>
    <row r="11" spans="1:20" x14ac:dyDescent="0.3">
      <c r="A11" s="1">
        <v>45644</v>
      </c>
      <c r="B11" t="s">
        <v>27</v>
      </c>
      <c r="C11" t="s">
        <v>4</v>
      </c>
      <c r="E11">
        <v>13</v>
      </c>
      <c r="F11">
        <v>20</v>
      </c>
      <c r="G11" s="4">
        <v>0</v>
      </c>
      <c r="H11">
        <v>0</v>
      </c>
      <c r="I11" s="23" t="s">
        <v>10</v>
      </c>
      <c r="J11" t="s">
        <v>152</v>
      </c>
      <c r="M11" s="10" t="s">
        <v>13</v>
      </c>
      <c r="N11" s="11" t="s">
        <v>34</v>
      </c>
      <c r="O11" s="12">
        <v>425</v>
      </c>
      <c r="P11" s="12">
        <v>516</v>
      </c>
      <c r="Q11" s="12">
        <v>360</v>
      </c>
    </row>
    <row r="12" spans="1:20" x14ac:dyDescent="0.3">
      <c r="A12" s="1"/>
      <c r="M12" s="10" t="s">
        <v>20</v>
      </c>
      <c r="N12" s="11" t="s">
        <v>21</v>
      </c>
      <c r="O12" s="12">
        <v>272</v>
      </c>
      <c r="P12" s="12">
        <v>330</v>
      </c>
      <c r="Q12" s="12">
        <v>119</v>
      </c>
    </row>
    <row r="13" spans="1:20" x14ac:dyDescent="0.3">
      <c r="A13" s="1"/>
      <c r="M13" s="10" t="s">
        <v>22</v>
      </c>
      <c r="N13" s="11" t="s">
        <v>23</v>
      </c>
      <c r="O13" s="12">
        <v>425</v>
      </c>
      <c r="P13" s="12">
        <v>507</v>
      </c>
      <c r="Q13" s="12" t="s">
        <v>24</v>
      </c>
    </row>
    <row r="14" spans="1:20" x14ac:dyDescent="0.3">
      <c r="A14" s="1"/>
      <c r="M14" s="10" t="s">
        <v>25</v>
      </c>
      <c r="N14" s="11" t="s">
        <v>26</v>
      </c>
      <c r="O14" s="12">
        <v>425</v>
      </c>
      <c r="P14" s="12">
        <v>515</v>
      </c>
      <c r="Q14" s="12" t="s">
        <v>24</v>
      </c>
    </row>
    <row r="15" spans="1:20" x14ac:dyDescent="0.3">
      <c r="A15" s="1"/>
      <c r="M15" s="10" t="s">
        <v>27</v>
      </c>
      <c r="N15" s="11" t="s">
        <v>28</v>
      </c>
      <c r="O15" s="12">
        <v>272</v>
      </c>
      <c r="P15" s="12">
        <v>354</v>
      </c>
      <c r="Q15" s="12">
        <v>196</v>
      </c>
    </row>
    <row r="16" spans="1:20" x14ac:dyDescent="0.3">
      <c r="A16" s="1"/>
      <c r="M16" s="10" t="s">
        <v>29</v>
      </c>
      <c r="N16" s="11" t="s">
        <v>30</v>
      </c>
      <c r="O16" s="12">
        <v>272</v>
      </c>
      <c r="P16" s="12">
        <v>333</v>
      </c>
      <c r="Q16" s="12">
        <v>220</v>
      </c>
    </row>
    <row r="17" spans="1:29" x14ac:dyDescent="0.3">
      <c r="A17" s="1"/>
    </row>
    <row r="18" spans="1:29" x14ac:dyDescent="0.3">
      <c r="A18" s="1"/>
      <c r="M18" s="35" t="s">
        <v>55</v>
      </c>
      <c r="N18" s="36"/>
      <c r="O18" s="36"/>
      <c r="P18" s="36"/>
      <c r="Q18" s="37"/>
      <c r="W18" s="48" t="s">
        <v>62</v>
      </c>
      <c r="X18" s="48"/>
      <c r="Y18" s="48"/>
      <c r="Z18" s="48"/>
      <c r="AA18" s="48"/>
      <c r="AB18" s="48"/>
      <c r="AC18" s="48"/>
    </row>
    <row r="19" spans="1:29" x14ac:dyDescent="0.3">
      <c r="A19" s="1"/>
      <c r="M19" s="8" t="s">
        <v>15</v>
      </c>
      <c r="N19" s="8" t="s">
        <v>16</v>
      </c>
      <c r="O19" s="8" t="s">
        <v>17</v>
      </c>
      <c r="P19" s="8" t="s">
        <v>18</v>
      </c>
      <c r="Q19" s="8" t="s">
        <v>19</v>
      </c>
      <c r="W19" s="8" t="s">
        <v>36</v>
      </c>
      <c r="X19" s="8" t="s">
        <v>13</v>
      </c>
      <c r="Y19" s="8" t="s">
        <v>37</v>
      </c>
      <c r="Z19" s="8" t="s">
        <v>22</v>
      </c>
      <c r="AA19" s="8" t="s">
        <v>25</v>
      </c>
      <c r="AB19" s="8" t="s">
        <v>27</v>
      </c>
      <c r="AC19" s="8" t="s">
        <v>29</v>
      </c>
    </row>
    <row r="20" spans="1:29" x14ac:dyDescent="0.3">
      <c r="A20" s="1"/>
      <c r="M20" s="10" t="s">
        <v>13</v>
      </c>
      <c r="N20" s="11" t="s">
        <v>56</v>
      </c>
      <c r="O20" s="12">
        <v>425</v>
      </c>
      <c r="P20" s="12">
        <v>535</v>
      </c>
      <c r="Q20" s="12">
        <v>261</v>
      </c>
      <c r="W20" s="10" t="s">
        <v>63</v>
      </c>
      <c r="X20" s="12" t="s">
        <v>24</v>
      </c>
      <c r="Y20" s="12" t="s">
        <v>24</v>
      </c>
      <c r="Z20" s="12" t="s">
        <v>24</v>
      </c>
      <c r="AA20" s="12" t="s">
        <v>24</v>
      </c>
      <c r="AB20" s="12" t="s">
        <v>24</v>
      </c>
      <c r="AC20" s="12" t="s">
        <v>24</v>
      </c>
    </row>
    <row r="21" spans="1:29" x14ac:dyDescent="0.3">
      <c r="A21" s="1"/>
      <c r="M21" s="10" t="s">
        <v>20</v>
      </c>
      <c r="N21" s="11" t="s">
        <v>57</v>
      </c>
      <c r="O21" s="12">
        <v>274</v>
      </c>
      <c r="P21" s="12">
        <v>356</v>
      </c>
      <c r="Q21" s="12">
        <v>130</v>
      </c>
      <c r="W21" s="10" t="s">
        <v>40</v>
      </c>
      <c r="X21" s="12">
        <v>42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3">
      <c r="A22" s="1"/>
      <c r="M22" s="10" t="s">
        <v>22</v>
      </c>
      <c r="N22" s="11" t="s">
        <v>58</v>
      </c>
      <c r="O22" s="12">
        <v>425</v>
      </c>
      <c r="P22" s="12">
        <v>540</v>
      </c>
      <c r="Q22" s="12">
        <v>319</v>
      </c>
      <c r="W22" s="10" t="s">
        <v>41</v>
      </c>
      <c r="X22" s="12">
        <v>0</v>
      </c>
      <c r="Y22" s="12" t="s">
        <v>24</v>
      </c>
      <c r="Z22" s="12" t="s">
        <v>24</v>
      </c>
      <c r="AA22" s="12" t="s">
        <v>24</v>
      </c>
      <c r="AB22" s="12">
        <v>0</v>
      </c>
      <c r="AC22" s="12">
        <v>0</v>
      </c>
    </row>
    <row r="23" spans="1:29" x14ac:dyDescent="0.3">
      <c r="A23" s="1"/>
      <c r="M23" s="10" t="s">
        <v>25</v>
      </c>
      <c r="N23" s="11" t="s">
        <v>59</v>
      </c>
      <c r="O23" s="12">
        <v>425</v>
      </c>
      <c r="P23" s="12">
        <v>528</v>
      </c>
      <c r="Q23" s="12" t="s">
        <v>24</v>
      </c>
      <c r="W23" s="10" t="s">
        <v>64</v>
      </c>
      <c r="X23" s="12">
        <v>116</v>
      </c>
      <c r="Y23" s="12">
        <v>540</v>
      </c>
      <c r="Z23" s="12">
        <v>2</v>
      </c>
      <c r="AA23" s="12">
        <v>2</v>
      </c>
      <c r="AB23" s="12">
        <v>11</v>
      </c>
      <c r="AC23" s="12">
        <v>3</v>
      </c>
    </row>
    <row r="24" spans="1:29" x14ac:dyDescent="0.3">
      <c r="A24" s="1"/>
      <c r="M24" s="10" t="s">
        <v>27</v>
      </c>
      <c r="N24" s="11" t="s">
        <v>60</v>
      </c>
      <c r="O24" s="12">
        <v>272</v>
      </c>
      <c r="P24" s="12">
        <v>427</v>
      </c>
      <c r="Q24" s="12">
        <v>301</v>
      </c>
      <c r="W24" s="10" t="s">
        <v>65</v>
      </c>
      <c r="X24" s="12">
        <v>25</v>
      </c>
      <c r="Y24" s="12">
        <v>8</v>
      </c>
      <c r="Z24" s="12">
        <v>6</v>
      </c>
      <c r="AA24" s="12">
        <v>15</v>
      </c>
      <c r="AB24" s="12">
        <v>24</v>
      </c>
      <c r="AC24" s="12">
        <v>9</v>
      </c>
    </row>
    <row r="25" spans="1:29" x14ac:dyDescent="0.3">
      <c r="M25" s="10" t="s">
        <v>29</v>
      </c>
      <c r="N25" s="11" t="s">
        <v>61</v>
      </c>
      <c r="O25" s="12" t="s">
        <v>24</v>
      </c>
      <c r="P25" s="12" t="s">
        <v>24</v>
      </c>
      <c r="Q25" s="12">
        <v>207</v>
      </c>
      <c r="W25" s="10" t="s">
        <v>66</v>
      </c>
      <c r="X25" s="12" t="s">
        <v>24</v>
      </c>
      <c r="Y25" s="12" t="s">
        <v>24</v>
      </c>
      <c r="Z25" s="12" t="s">
        <v>24</v>
      </c>
      <c r="AA25" s="12" t="s">
        <v>24</v>
      </c>
      <c r="AB25" s="12" t="s">
        <v>24</v>
      </c>
      <c r="AC25" s="12" t="s">
        <v>24</v>
      </c>
    </row>
    <row r="27" spans="1:29" ht="17.399999999999999" x14ac:dyDescent="0.3">
      <c r="M27" s="34" t="s">
        <v>78</v>
      </c>
      <c r="N27" s="34"/>
      <c r="O27" s="34"/>
      <c r="P27" s="34"/>
      <c r="Q27" s="34"/>
      <c r="R27" s="34"/>
      <c r="S27" s="34"/>
    </row>
    <row r="28" spans="1:29" x14ac:dyDescent="0.3">
      <c r="M28" s="13" t="s">
        <v>36</v>
      </c>
      <c r="N28" s="13" t="s">
        <v>13</v>
      </c>
      <c r="O28" s="13" t="s">
        <v>37</v>
      </c>
      <c r="P28" s="13" t="s">
        <v>22</v>
      </c>
      <c r="Q28" s="13" t="s">
        <v>25</v>
      </c>
      <c r="R28" s="13" t="s">
        <v>27</v>
      </c>
      <c r="S28" s="13" t="s">
        <v>29</v>
      </c>
    </row>
    <row r="29" spans="1:29" x14ac:dyDescent="0.3">
      <c r="M29" s="14" t="s">
        <v>63</v>
      </c>
      <c r="N29" s="15" t="s">
        <v>24</v>
      </c>
      <c r="O29" s="15" t="s">
        <v>24</v>
      </c>
      <c r="P29" s="15" t="s">
        <v>24</v>
      </c>
      <c r="Q29" s="15" t="s">
        <v>24</v>
      </c>
      <c r="R29" s="15" t="s">
        <v>24</v>
      </c>
      <c r="S29" s="15" t="s">
        <v>24</v>
      </c>
    </row>
    <row r="30" spans="1:29" x14ac:dyDescent="0.3">
      <c r="M30" s="14" t="s">
        <v>40</v>
      </c>
      <c r="N30" s="15">
        <v>120</v>
      </c>
      <c r="O30" s="15" t="s">
        <v>24</v>
      </c>
      <c r="P30" s="15">
        <v>0</v>
      </c>
      <c r="Q30" s="15">
        <v>0</v>
      </c>
      <c r="R30" s="15" t="s">
        <v>24</v>
      </c>
      <c r="S30" s="15">
        <v>0</v>
      </c>
    </row>
    <row r="31" spans="1:29" x14ac:dyDescent="0.3">
      <c r="M31" s="14" t="s">
        <v>41</v>
      </c>
      <c r="N31" s="15" t="s">
        <v>24</v>
      </c>
      <c r="O31" s="15" t="s">
        <v>24</v>
      </c>
      <c r="P31" s="15" t="s">
        <v>24</v>
      </c>
      <c r="Q31" s="15" t="s">
        <v>24</v>
      </c>
      <c r="R31" s="15">
        <v>0</v>
      </c>
      <c r="S31" s="15">
        <v>0</v>
      </c>
    </row>
    <row r="32" spans="1:29" x14ac:dyDescent="0.3">
      <c r="M32" s="14" t="s">
        <v>64</v>
      </c>
      <c r="N32" s="15">
        <v>7</v>
      </c>
      <c r="O32" s="15">
        <v>242</v>
      </c>
      <c r="P32" s="15">
        <v>1</v>
      </c>
      <c r="Q32" s="15">
        <v>0</v>
      </c>
      <c r="R32" s="15">
        <v>24</v>
      </c>
      <c r="S32" s="15">
        <v>5</v>
      </c>
    </row>
    <row r="33" spans="13:29" x14ac:dyDescent="0.3">
      <c r="M33" s="14" t="s">
        <v>65</v>
      </c>
      <c r="N33" s="15">
        <v>37</v>
      </c>
      <c r="O33" s="15">
        <v>77</v>
      </c>
      <c r="P33" s="15">
        <v>7</v>
      </c>
      <c r="Q33" s="15">
        <v>15</v>
      </c>
      <c r="R33" s="15">
        <v>94</v>
      </c>
      <c r="S33" s="15">
        <v>79</v>
      </c>
    </row>
    <row r="34" spans="13:29" x14ac:dyDescent="0.3">
      <c r="M34" s="14" t="s">
        <v>66</v>
      </c>
      <c r="N34" s="15" t="s">
        <v>24</v>
      </c>
      <c r="O34" s="15" t="s">
        <v>24</v>
      </c>
      <c r="P34" s="15" t="s">
        <v>24</v>
      </c>
      <c r="Q34" s="15" t="s">
        <v>24</v>
      </c>
      <c r="R34" s="15" t="s">
        <v>24</v>
      </c>
      <c r="S34" s="15" t="s">
        <v>24</v>
      </c>
    </row>
    <row r="36" spans="13:29" ht="17.399999999999999" x14ac:dyDescent="0.3">
      <c r="M36" s="31" t="s">
        <v>85</v>
      </c>
      <c r="N36" s="32"/>
      <c r="O36" s="32"/>
      <c r="P36" s="32"/>
      <c r="Q36" s="33"/>
      <c r="W36" s="34" t="s">
        <v>84</v>
      </c>
      <c r="X36" s="34"/>
      <c r="Y36" s="34"/>
      <c r="Z36" s="34"/>
      <c r="AA36" s="34"/>
      <c r="AB36" s="34"/>
      <c r="AC36" s="34"/>
    </row>
    <row r="37" spans="13:29" ht="26.4" x14ac:dyDescent="0.3">
      <c r="M37" s="8" t="s">
        <v>15</v>
      </c>
      <c r="N37" s="9" t="s">
        <v>16</v>
      </c>
      <c r="O37" s="9" t="s">
        <v>17</v>
      </c>
      <c r="P37" s="9" t="s">
        <v>18</v>
      </c>
      <c r="Q37" s="9" t="s">
        <v>19</v>
      </c>
      <c r="W37" s="13" t="s">
        <v>36</v>
      </c>
      <c r="X37" s="13" t="s">
        <v>13</v>
      </c>
      <c r="Y37" s="13" t="s">
        <v>37</v>
      </c>
      <c r="Z37" s="13" t="s">
        <v>22</v>
      </c>
      <c r="AA37" s="13" t="s">
        <v>25</v>
      </c>
      <c r="AB37" s="13" t="s">
        <v>27</v>
      </c>
      <c r="AC37" s="13" t="s">
        <v>29</v>
      </c>
    </row>
    <row r="38" spans="13:29" x14ac:dyDescent="0.3">
      <c r="M38" s="14" t="s">
        <v>13</v>
      </c>
      <c r="N38" s="16" t="s">
        <v>86</v>
      </c>
      <c r="O38" s="15">
        <v>435</v>
      </c>
      <c r="P38" s="15">
        <v>538</v>
      </c>
      <c r="Q38" s="15">
        <v>256</v>
      </c>
      <c r="W38" s="14" t="s">
        <v>63</v>
      </c>
      <c r="X38" s="15" t="s">
        <v>24</v>
      </c>
      <c r="Y38" s="15" t="s">
        <v>24</v>
      </c>
      <c r="Z38" s="15" t="s">
        <v>24</v>
      </c>
      <c r="AA38" s="15" t="s">
        <v>24</v>
      </c>
      <c r="AB38" s="15" t="s">
        <v>24</v>
      </c>
      <c r="AC38" s="15" t="s">
        <v>24</v>
      </c>
    </row>
    <row r="39" spans="13:29" x14ac:dyDescent="0.3">
      <c r="M39" s="14" t="s">
        <v>20</v>
      </c>
      <c r="N39" s="16" t="s">
        <v>87</v>
      </c>
      <c r="O39" s="15" t="s">
        <v>24</v>
      </c>
      <c r="P39" s="15" t="s">
        <v>24</v>
      </c>
      <c r="Q39" s="15">
        <v>175</v>
      </c>
      <c r="W39" s="14" t="s">
        <v>40</v>
      </c>
      <c r="X39" s="15">
        <v>19</v>
      </c>
      <c r="Y39" s="15" t="s">
        <v>24</v>
      </c>
      <c r="Z39" s="15">
        <v>1</v>
      </c>
      <c r="AA39" s="15">
        <v>0</v>
      </c>
      <c r="AB39" s="15" t="s">
        <v>24</v>
      </c>
      <c r="AC39" s="15" t="s">
        <v>24</v>
      </c>
    </row>
    <row r="40" spans="13:29" x14ac:dyDescent="0.3">
      <c r="M40" s="14" t="s">
        <v>22</v>
      </c>
      <c r="N40" s="16" t="s">
        <v>88</v>
      </c>
      <c r="O40" s="15">
        <v>428</v>
      </c>
      <c r="P40" s="15">
        <v>561</v>
      </c>
      <c r="Q40" s="15">
        <v>319</v>
      </c>
      <c r="W40" s="14" t="s">
        <v>41</v>
      </c>
      <c r="X40" s="15" t="s">
        <v>24</v>
      </c>
      <c r="Y40" s="15" t="s">
        <v>24</v>
      </c>
      <c r="Z40" s="15" t="s">
        <v>24</v>
      </c>
      <c r="AA40" s="15" t="s">
        <v>24</v>
      </c>
      <c r="AB40" s="15" t="s">
        <v>24</v>
      </c>
      <c r="AC40" s="15">
        <v>0</v>
      </c>
    </row>
    <row r="41" spans="13:29" x14ac:dyDescent="0.3">
      <c r="M41" s="14" t="s">
        <v>25</v>
      </c>
      <c r="N41" s="16" t="s">
        <v>89</v>
      </c>
      <c r="O41" s="15">
        <v>425</v>
      </c>
      <c r="P41" s="15">
        <v>562</v>
      </c>
      <c r="Q41" s="15">
        <v>564</v>
      </c>
      <c r="W41" s="14" t="s">
        <v>64</v>
      </c>
      <c r="X41" s="15">
        <v>35</v>
      </c>
      <c r="Y41" s="15">
        <v>20</v>
      </c>
      <c r="Z41" s="15">
        <v>0</v>
      </c>
      <c r="AA41" s="15">
        <v>0</v>
      </c>
      <c r="AB41" s="15">
        <v>0</v>
      </c>
      <c r="AC41" s="15">
        <v>21</v>
      </c>
    </row>
    <row r="42" spans="13:29" x14ac:dyDescent="0.3">
      <c r="M42" s="14" t="s">
        <v>27</v>
      </c>
      <c r="N42" s="16">
        <v>0</v>
      </c>
      <c r="O42" s="15" t="s">
        <v>24</v>
      </c>
      <c r="P42" s="15" t="s">
        <v>24</v>
      </c>
      <c r="Q42" s="15" t="s">
        <v>24</v>
      </c>
      <c r="W42" s="14" t="s">
        <v>65</v>
      </c>
      <c r="X42" s="15">
        <v>48</v>
      </c>
      <c r="Y42" s="15">
        <v>18</v>
      </c>
      <c r="Z42" s="15">
        <v>19</v>
      </c>
      <c r="AA42" s="15">
        <v>10</v>
      </c>
      <c r="AB42" s="15">
        <v>0</v>
      </c>
      <c r="AC42" s="15">
        <v>69</v>
      </c>
    </row>
    <row r="43" spans="13:29" x14ac:dyDescent="0.3">
      <c r="M43" s="14" t="s">
        <v>29</v>
      </c>
      <c r="N43" s="16" t="s">
        <v>90</v>
      </c>
      <c r="O43" s="15">
        <v>268</v>
      </c>
      <c r="P43" s="15">
        <v>403</v>
      </c>
      <c r="Q43" s="15">
        <v>244</v>
      </c>
      <c r="W43" s="14" t="s">
        <v>66</v>
      </c>
      <c r="X43" s="15" t="s">
        <v>24</v>
      </c>
      <c r="Y43" s="15" t="s">
        <v>24</v>
      </c>
      <c r="Z43" s="15" t="s">
        <v>24</v>
      </c>
      <c r="AA43" s="15" t="s">
        <v>24</v>
      </c>
      <c r="AB43" s="15" t="s">
        <v>24</v>
      </c>
      <c r="AC43" s="15" t="s">
        <v>24</v>
      </c>
    </row>
    <row r="45" spans="13:29" x14ac:dyDescent="0.3">
      <c r="M45" s="35" t="s">
        <v>108</v>
      </c>
      <c r="N45" s="36"/>
      <c r="O45" s="36"/>
      <c r="P45" s="36"/>
      <c r="Q45" s="37"/>
    </row>
    <row r="46" spans="13:29" ht="26.4" x14ac:dyDescent="0.3">
      <c r="M46" s="8" t="s">
        <v>15</v>
      </c>
      <c r="N46" s="9" t="s">
        <v>16</v>
      </c>
      <c r="O46" s="9" t="s">
        <v>17</v>
      </c>
      <c r="P46" s="9" t="s">
        <v>18</v>
      </c>
      <c r="Q46" s="9" t="s">
        <v>19</v>
      </c>
    </row>
    <row r="47" spans="13:29" x14ac:dyDescent="0.3">
      <c r="M47" s="10" t="s">
        <v>13</v>
      </c>
      <c r="N47" s="11" t="s">
        <v>109</v>
      </c>
      <c r="O47" s="12">
        <v>441</v>
      </c>
      <c r="P47" s="12">
        <v>549</v>
      </c>
      <c r="Q47" s="12">
        <v>282</v>
      </c>
    </row>
    <row r="48" spans="13:29" x14ac:dyDescent="0.3">
      <c r="M48" s="10" t="s">
        <v>20</v>
      </c>
      <c r="N48" s="11" t="s">
        <v>110</v>
      </c>
      <c r="O48" s="12" t="s">
        <v>24</v>
      </c>
      <c r="P48" s="12" t="s">
        <v>24</v>
      </c>
      <c r="Q48" s="12">
        <v>226</v>
      </c>
    </row>
    <row r="49" spans="13:17" x14ac:dyDescent="0.3">
      <c r="M49" s="10" t="s">
        <v>22</v>
      </c>
      <c r="N49" s="11" t="s">
        <v>111</v>
      </c>
      <c r="O49" s="12">
        <v>428</v>
      </c>
      <c r="P49" s="12">
        <v>555</v>
      </c>
      <c r="Q49" s="12">
        <v>456</v>
      </c>
    </row>
    <row r="50" spans="13:17" x14ac:dyDescent="0.3">
      <c r="M50" s="10" t="s">
        <v>25</v>
      </c>
      <c r="N50" s="11" t="s">
        <v>112</v>
      </c>
      <c r="O50" s="12">
        <v>441</v>
      </c>
      <c r="P50" s="12">
        <v>561</v>
      </c>
      <c r="Q50" s="12">
        <v>483</v>
      </c>
    </row>
    <row r="51" spans="13:17" x14ac:dyDescent="0.3">
      <c r="M51" s="10" t="s">
        <v>27</v>
      </c>
      <c r="N51" s="11">
        <v>0</v>
      </c>
      <c r="O51" s="12" t="s">
        <v>24</v>
      </c>
      <c r="P51" s="12" t="s">
        <v>24</v>
      </c>
      <c r="Q51" s="12" t="s">
        <v>24</v>
      </c>
    </row>
    <row r="52" spans="13:17" x14ac:dyDescent="0.3">
      <c r="M52" s="10" t="s">
        <v>29</v>
      </c>
      <c r="N52" s="11" t="s">
        <v>113</v>
      </c>
      <c r="O52" s="12">
        <v>259</v>
      </c>
      <c r="P52" s="12">
        <v>417</v>
      </c>
      <c r="Q52" s="12">
        <v>289</v>
      </c>
    </row>
    <row r="53" spans="13:17" x14ac:dyDescent="0.3">
      <c r="M53" s="14" t="s">
        <v>29</v>
      </c>
      <c r="N53" s="16" t="s">
        <v>107</v>
      </c>
      <c r="O53" s="15">
        <v>265</v>
      </c>
      <c r="P53" s="15">
        <v>387</v>
      </c>
      <c r="Q53" s="15">
        <v>305</v>
      </c>
    </row>
    <row r="55" spans="13:17" ht="17.399999999999999" x14ac:dyDescent="0.3">
      <c r="M55" s="38" t="s">
        <v>97</v>
      </c>
      <c r="N55" s="39"/>
      <c r="O55" s="39"/>
      <c r="P55" s="39"/>
      <c r="Q55" s="40"/>
    </row>
    <row r="56" spans="13:17" x14ac:dyDescent="0.3">
      <c r="M56" s="17"/>
      <c r="N56" s="18"/>
      <c r="O56" s="18"/>
      <c r="P56" s="18"/>
      <c r="Q56" s="19"/>
    </row>
    <row r="57" spans="13:17" ht="26.4" x14ac:dyDescent="0.3">
      <c r="M57" s="20" t="s">
        <v>15</v>
      </c>
      <c r="N57" s="21" t="s">
        <v>16</v>
      </c>
      <c r="O57" s="21" t="s">
        <v>98</v>
      </c>
      <c r="P57" s="21" t="s">
        <v>99</v>
      </c>
      <c r="Q57" s="21" t="s">
        <v>19</v>
      </c>
    </row>
    <row r="58" spans="13:17" x14ac:dyDescent="0.3">
      <c r="M58" s="14" t="s">
        <v>13</v>
      </c>
      <c r="N58" s="16" t="s">
        <v>100</v>
      </c>
      <c r="O58" s="15" t="s">
        <v>24</v>
      </c>
      <c r="P58" s="15" t="s">
        <v>24</v>
      </c>
      <c r="Q58" s="15">
        <v>276</v>
      </c>
    </row>
    <row r="59" spans="13:17" x14ac:dyDescent="0.3">
      <c r="M59" s="14" t="s">
        <v>20</v>
      </c>
      <c r="N59" s="16">
        <v>0</v>
      </c>
      <c r="O59" s="15" t="s">
        <v>24</v>
      </c>
      <c r="P59" s="15" t="s">
        <v>24</v>
      </c>
      <c r="Q59" s="15" t="s">
        <v>24</v>
      </c>
    </row>
    <row r="60" spans="13:17" x14ac:dyDescent="0.3">
      <c r="M60" s="14" t="s">
        <v>22</v>
      </c>
      <c r="N60" s="16" t="s">
        <v>101</v>
      </c>
      <c r="O60" s="15">
        <v>441</v>
      </c>
      <c r="P60" s="15">
        <v>581</v>
      </c>
      <c r="Q60" s="15" t="s">
        <v>24</v>
      </c>
    </row>
    <row r="61" spans="13:17" x14ac:dyDescent="0.3">
      <c r="M61" s="14" t="s">
        <v>25</v>
      </c>
      <c r="N61" s="16" t="s">
        <v>102</v>
      </c>
      <c r="O61" s="15" t="s">
        <v>24</v>
      </c>
      <c r="P61" s="15" t="s">
        <v>24</v>
      </c>
      <c r="Q61" s="15">
        <v>457</v>
      </c>
    </row>
    <row r="62" spans="13:17" x14ac:dyDescent="0.3">
      <c r="M62" s="14" t="s">
        <v>27</v>
      </c>
      <c r="N62" s="16" t="s">
        <v>103</v>
      </c>
      <c r="O62" s="15" t="s">
        <v>104</v>
      </c>
      <c r="P62" s="15" t="s">
        <v>105</v>
      </c>
      <c r="Q62" s="15" t="s">
        <v>106</v>
      </c>
    </row>
    <row r="63" spans="13:17" x14ac:dyDescent="0.3">
      <c r="M63" s="14" t="s">
        <v>29</v>
      </c>
      <c r="N63" s="16" t="s">
        <v>107</v>
      </c>
      <c r="O63" s="15">
        <v>265</v>
      </c>
      <c r="P63" s="15">
        <v>387</v>
      </c>
      <c r="Q63" s="15">
        <v>305</v>
      </c>
    </row>
    <row r="65" spans="13:16" x14ac:dyDescent="0.3">
      <c r="M65" s="41" t="s">
        <v>126</v>
      </c>
      <c r="N65" s="42"/>
      <c r="O65" s="42"/>
      <c r="P65" s="43"/>
    </row>
    <row r="66" spans="13:16" x14ac:dyDescent="0.3">
      <c r="M66" s="44"/>
      <c r="N66" s="45"/>
      <c r="O66" s="45"/>
      <c r="P66" s="46"/>
    </row>
    <row r="67" spans="13:16" ht="39.6" x14ac:dyDescent="0.3">
      <c r="M67" s="20" t="s">
        <v>15</v>
      </c>
      <c r="N67" s="21" t="s">
        <v>127</v>
      </c>
      <c r="O67" s="21" t="s">
        <v>128</v>
      </c>
      <c r="P67" s="21" t="s">
        <v>129</v>
      </c>
    </row>
    <row r="68" spans="13:16" x14ac:dyDescent="0.3">
      <c r="M68" s="14" t="s">
        <v>13</v>
      </c>
      <c r="N68" s="16" t="s">
        <v>130</v>
      </c>
      <c r="O68" s="15">
        <v>51</v>
      </c>
      <c r="P68" s="15" t="s">
        <v>131</v>
      </c>
    </row>
    <row r="69" spans="13:16" x14ac:dyDescent="0.3">
      <c r="M69" s="14" t="s">
        <v>22</v>
      </c>
      <c r="N69" s="16" t="s">
        <v>132</v>
      </c>
      <c r="O69" s="15">
        <v>1</v>
      </c>
      <c r="P69" s="15" t="s">
        <v>133</v>
      </c>
    </row>
    <row r="70" spans="13:16" ht="15" thickBot="1" x14ac:dyDescent="0.35">
      <c r="M70" s="24" t="s">
        <v>25</v>
      </c>
      <c r="N70" s="25" t="s">
        <v>134</v>
      </c>
      <c r="O70" s="26">
        <v>3</v>
      </c>
      <c r="P70" s="26" t="s">
        <v>132</v>
      </c>
    </row>
    <row r="71" spans="13:16" x14ac:dyDescent="0.3">
      <c r="M71" s="27"/>
      <c r="N71" s="28" t="s">
        <v>135</v>
      </c>
      <c r="O71" s="29">
        <v>0.84615384615384615</v>
      </c>
      <c r="P71" s="30">
        <v>0.15384615384615385</v>
      </c>
    </row>
    <row r="73" spans="13:16" x14ac:dyDescent="0.3">
      <c r="M73" s="41" t="s">
        <v>136</v>
      </c>
      <c r="N73" s="42"/>
      <c r="O73" s="42"/>
      <c r="P73" s="43"/>
    </row>
    <row r="74" spans="13:16" x14ac:dyDescent="0.3">
      <c r="M74" s="44"/>
      <c r="N74" s="45"/>
      <c r="O74" s="45"/>
      <c r="P74" s="46"/>
    </row>
    <row r="75" spans="13:16" ht="39.6" x14ac:dyDescent="0.3">
      <c r="M75" s="20" t="s">
        <v>15</v>
      </c>
      <c r="N75" s="21" t="s">
        <v>127</v>
      </c>
      <c r="O75" s="21" t="s">
        <v>128</v>
      </c>
      <c r="P75" s="21" t="s">
        <v>129</v>
      </c>
    </row>
    <row r="76" spans="13:16" x14ac:dyDescent="0.3">
      <c r="M76" s="14" t="s">
        <v>20</v>
      </c>
      <c r="N76" s="16" t="s">
        <v>137</v>
      </c>
      <c r="O76" s="15">
        <v>412</v>
      </c>
      <c r="P76" s="15" t="s">
        <v>138</v>
      </c>
    </row>
    <row r="77" spans="13:16" x14ac:dyDescent="0.3">
      <c r="M77" s="14" t="s">
        <v>27</v>
      </c>
      <c r="N77" s="16" t="s">
        <v>139</v>
      </c>
      <c r="O77" s="15">
        <v>8</v>
      </c>
      <c r="P77" s="15" t="s">
        <v>140</v>
      </c>
    </row>
    <row r="78" spans="13:16" x14ac:dyDescent="0.3">
      <c r="M78" s="14" t="s">
        <v>29</v>
      </c>
      <c r="N78" s="16" t="s">
        <v>100</v>
      </c>
      <c r="O78" s="15">
        <v>47</v>
      </c>
      <c r="P78" s="15" t="s">
        <v>141</v>
      </c>
    </row>
    <row r="79" spans="13:16" x14ac:dyDescent="0.3">
      <c r="M79" s="27"/>
      <c r="N79" s="28" t="s">
        <v>142</v>
      </c>
      <c r="O79" s="29">
        <v>0.71846153846153848</v>
      </c>
      <c r="P79" s="30">
        <v>0.28153846153846152</v>
      </c>
    </row>
  </sheetData>
  <mergeCells count="11">
    <mergeCell ref="M4:T4"/>
    <mergeCell ref="M9:Q9"/>
    <mergeCell ref="M18:Q18"/>
    <mergeCell ref="W18:AC18"/>
    <mergeCell ref="M73:P74"/>
    <mergeCell ref="M27:S27"/>
    <mergeCell ref="M36:Q36"/>
    <mergeCell ref="W36:AC36"/>
    <mergeCell ref="M45:Q45"/>
    <mergeCell ref="M55:Q55"/>
    <mergeCell ref="M65:P6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E8A6-D97C-4A45-8A25-04A31BF98EC7}">
  <dimension ref="A1:AC80"/>
  <sheetViews>
    <sheetView tabSelected="1" workbookViewId="0">
      <selection activeCell="J22" sqref="J22"/>
    </sheetView>
  </sheetViews>
  <sheetFormatPr defaultRowHeight="14.4" x14ac:dyDescent="0.3"/>
  <cols>
    <col min="1" max="1" width="10.33203125" bestFit="1" customWidth="1"/>
    <col min="2" max="2" width="8.6640625" bestFit="1" customWidth="1"/>
    <col min="3" max="3" width="7.6640625" bestFit="1" customWidth="1"/>
    <col min="4" max="4" width="7.88671875" style="3" bestFit="1" customWidth="1"/>
    <col min="5" max="5" width="9.44140625" customWidth="1"/>
    <col min="6" max="6" width="8.109375" customWidth="1"/>
    <col min="7" max="7" width="9.109375" style="4" customWidth="1"/>
    <col min="8" max="8" width="6.44140625" customWidth="1"/>
    <col min="9" max="9" width="5" customWidth="1"/>
    <col min="10" max="10" width="99.6640625" bestFit="1" customWidth="1"/>
    <col min="13" max="13" width="12.33203125" bestFit="1" customWidth="1"/>
    <col min="14" max="14" width="27.109375" bestFit="1" customWidth="1"/>
    <col min="15" max="15" width="26.6640625" bestFit="1" customWidth="1"/>
    <col min="16" max="16" width="26.77734375" bestFit="1" customWidth="1"/>
    <col min="17" max="17" width="23.33203125" bestFit="1" customWidth="1"/>
    <col min="18" max="19" width="7.109375" bestFit="1" customWidth="1"/>
    <col min="20" max="20" width="5.44140625" bestFit="1" customWidth="1"/>
  </cols>
  <sheetData>
    <row r="1" spans="1:20" s="2" customFormat="1" ht="61.8" customHeight="1" thickBot="1" x14ac:dyDescent="0.35">
      <c r="A1" s="5" t="s">
        <v>0</v>
      </c>
      <c r="B1" s="5" t="s">
        <v>1</v>
      </c>
      <c r="C1" s="5" t="s">
        <v>2</v>
      </c>
      <c r="D1" s="6" t="s">
        <v>5</v>
      </c>
      <c r="E1" s="5" t="s">
        <v>8</v>
      </c>
      <c r="F1" s="5" t="s">
        <v>7</v>
      </c>
      <c r="G1" s="7" t="s">
        <v>6</v>
      </c>
      <c r="H1" s="5" t="s">
        <v>12</v>
      </c>
      <c r="I1" s="5" t="s">
        <v>9</v>
      </c>
      <c r="J1" s="5" t="s">
        <v>11</v>
      </c>
      <c r="K1" s="5"/>
      <c r="L1" s="5"/>
      <c r="M1" s="5"/>
      <c r="N1" s="5"/>
    </row>
    <row r="2" spans="1:20" x14ac:dyDescent="0.3">
      <c r="A2" s="1">
        <v>42815</v>
      </c>
      <c r="B2" t="s">
        <v>29</v>
      </c>
      <c r="C2" t="s">
        <v>3</v>
      </c>
      <c r="D2" s="3">
        <v>300</v>
      </c>
      <c r="I2" t="s">
        <v>10</v>
      </c>
    </row>
    <row r="3" spans="1:20" x14ac:dyDescent="0.3">
      <c r="A3" s="1">
        <v>43068</v>
      </c>
      <c r="B3" t="s">
        <v>29</v>
      </c>
      <c r="C3" t="s">
        <v>4</v>
      </c>
      <c r="E3">
        <v>15</v>
      </c>
      <c r="F3">
        <v>5</v>
      </c>
      <c r="G3" s="4">
        <v>0</v>
      </c>
      <c r="I3" t="s">
        <v>10</v>
      </c>
      <c r="J3" t="s">
        <v>54</v>
      </c>
      <c r="M3" t="s">
        <v>79</v>
      </c>
    </row>
    <row r="4" spans="1:20" x14ac:dyDescent="0.3">
      <c r="A4" s="1">
        <v>43188</v>
      </c>
      <c r="B4" t="s">
        <v>29</v>
      </c>
      <c r="C4" t="s">
        <v>4</v>
      </c>
      <c r="E4">
        <v>33</v>
      </c>
      <c r="F4">
        <v>3</v>
      </c>
      <c r="G4" s="4">
        <v>0</v>
      </c>
      <c r="I4" t="s">
        <v>10</v>
      </c>
      <c r="J4" t="s">
        <v>53</v>
      </c>
      <c r="M4" s="47" t="s">
        <v>35</v>
      </c>
      <c r="N4" s="47"/>
      <c r="O4" s="47"/>
      <c r="P4" s="47"/>
      <c r="Q4" s="47"/>
      <c r="R4" s="47"/>
      <c r="S4" s="47"/>
      <c r="T4" s="47"/>
    </row>
    <row r="5" spans="1:20" x14ac:dyDescent="0.3">
      <c r="A5" s="1">
        <v>43453</v>
      </c>
      <c r="B5" t="s">
        <v>29</v>
      </c>
      <c r="C5" t="s">
        <v>4</v>
      </c>
      <c r="E5">
        <v>0</v>
      </c>
      <c r="F5">
        <v>12</v>
      </c>
      <c r="G5" s="4">
        <v>0</v>
      </c>
      <c r="I5" t="s">
        <v>10</v>
      </c>
      <c r="J5" t="s">
        <v>76</v>
      </c>
      <c r="M5" s="8" t="s">
        <v>36</v>
      </c>
      <c r="N5" s="8" t="s">
        <v>13</v>
      </c>
      <c r="O5" s="8" t="s">
        <v>37</v>
      </c>
      <c r="P5" s="8" t="s">
        <v>22</v>
      </c>
      <c r="Q5" s="8" t="s">
        <v>25</v>
      </c>
      <c r="R5" s="8" t="s">
        <v>27</v>
      </c>
      <c r="S5" s="8" t="s">
        <v>29</v>
      </c>
      <c r="T5" s="8" t="s">
        <v>38</v>
      </c>
    </row>
    <row r="6" spans="1:20" x14ac:dyDescent="0.3">
      <c r="A6" s="1">
        <v>43804</v>
      </c>
      <c r="B6" t="s">
        <v>29</v>
      </c>
      <c r="C6" t="s">
        <v>4</v>
      </c>
      <c r="E6">
        <v>5</v>
      </c>
      <c r="F6">
        <v>77</v>
      </c>
      <c r="G6" s="4">
        <v>0</v>
      </c>
      <c r="H6">
        <v>2</v>
      </c>
      <c r="I6" t="s">
        <v>10</v>
      </c>
      <c r="J6" t="s">
        <v>83</v>
      </c>
      <c r="M6" s="10" t="s">
        <v>39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f>SUM(N6:S6)</f>
        <v>0</v>
      </c>
    </row>
    <row r="7" spans="1:20" x14ac:dyDescent="0.3">
      <c r="A7" s="1">
        <v>44231</v>
      </c>
      <c r="B7" t="s">
        <v>29</v>
      </c>
      <c r="C7" t="s">
        <v>4</v>
      </c>
      <c r="E7">
        <v>6</v>
      </c>
      <c r="F7">
        <v>23</v>
      </c>
      <c r="G7" s="4">
        <v>10</v>
      </c>
      <c r="I7" t="s">
        <v>10</v>
      </c>
      <c r="J7" t="s">
        <v>96</v>
      </c>
      <c r="M7" s="10" t="s">
        <v>40</v>
      </c>
      <c r="N7" s="11">
        <v>0</v>
      </c>
      <c r="O7" s="11">
        <v>87</v>
      </c>
      <c r="P7" s="11">
        <v>0</v>
      </c>
      <c r="Q7" s="11">
        <v>0</v>
      </c>
      <c r="R7" s="11">
        <v>0</v>
      </c>
      <c r="S7" s="11">
        <v>0</v>
      </c>
      <c r="T7" s="11">
        <f>SUM(N7:S7)</f>
        <v>87</v>
      </c>
    </row>
    <row r="8" spans="1:20" x14ac:dyDescent="0.3">
      <c r="A8" s="1">
        <v>44287</v>
      </c>
      <c r="B8" t="s">
        <v>29</v>
      </c>
      <c r="C8" t="s">
        <v>4</v>
      </c>
      <c r="E8">
        <v>10</v>
      </c>
      <c r="F8">
        <v>51</v>
      </c>
      <c r="G8" s="4">
        <v>0</v>
      </c>
      <c r="I8" t="s">
        <v>10</v>
      </c>
      <c r="M8" s="10" t="s">
        <v>41</v>
      </c>
      <c r="N8" s="11">
        <v>0</v>
      </c>
      <c r="O8" s="11">
        <v>799</v>
      </c>
      <c r="P8" s="11">
        <v>0</v>
      </c>
      <c r="Q8" s="11">
        <v>0</v>
      </c>
      <c r="R8" s="11">
        <v>0</v>
      </c>
      <c r="S8" s="11">
        <v>0</v>
      </c>
      <c r="T8" s="11">
        <f>SUM(N8:S8)</f>
        <v>799</v>
      </c>
    </row>
    <row r="9" spans="1:20" x14ac:dyDescent="0.3">
      <c r="A9" s="1">
        <v>44544</v>
      </c>
      <c r="B9" t="s">
        <v>29</v>
      </c>
      <c r="C9" t="s">
        <v>4</v>
      </c>
      <c r="E9">
        <v>11</v>
      </c>
      <c r="F9">
        <v>54</v>
      </c>
      <c r="G9" s="4">
        <v>23</v>
      </c>
      <c r="I9" t="s">
        <v>10</v>
      </c>
      <c r="J9" t="s">
        <v>120</v>
      </c>
    </row>
    <row r="10" spans="1:20" x14ac:dyDescent="0.3">
      <c r="A10" s="1">
        <v>44629</v>
      </c>
      <c r="B10" t="s">
        <v>29</v>
      </c>
      <c r="C10" t="s">
        <v>4</v>
      </c>
      <c r="E10">
        <v>31</v>
      </c>
      <c r="F10">
        <v>46</v>
      </c>
      <c r="G10" s="4">
        <v>0</v>
      </c>
      <c r="I10" t="s">
        <v>10</v>
      </c>
      <c r="J10" t="s">
        <v>119</v>
      </c>
      <c r="M10" s="35" t="s">
        <v>14</v>
      </c>
      <c r="N10" s="36"/>
      <c r="O10" s="36"/>
      <c r="P10" s="36"/>
      <c r="Q10" s="37"/>
    </row>
    <row r="11" spans="1:20" x14ac:dyDescent="0.3">
      <c r="A11" s="1">
        <v>44910</v>
      </c>
      <c r="B11" t="s">
        <v>29</v>
      </c>
      <c r="C11" t="s">
        <v>4</v>
      </c>
      <c r="E11">
        <v>14</v>
      </c>
      <c r="F11">
        <v>92</v>
      </c>
      <c r="G11" s="4">
        <v>0</v>
      </c>
      <c r="H11">
        <v>1</v>
      </c>
      <c r="I11" t="s">
        <v>10</v>
      </c>
      <c r="J11" t="s">
        <v>125</v>
      </c>
      <c r="M11" s="8" t="s">
        <v>15</v>
      </c>
      <c r="N11" s="8" t="s">
        <v>16</v>
      </c>
      <c r="O11" s="8" t="s">
        <v>17</v>
      </c>
      <c r="P11" s="8" t="s">
        <v>18</v>
      </c>
      <c r="Q11" s="8" t="s">
        <v>19</v>
      </c>
    </row>
    <row r="12" spans="1:20" x14ac:dyDescent="0.3">
      <c r="A12" s="1">
        <v>45279</v>
      </c>
      <c r="B12" t="s">
        <v>29</v>
      </c>
      <c r="C12" t="s">
        <v>4</v>
      </c>
      <c r="E12">
        <v>26</v>
      </c>
      <c r="F12">
        <v>46</v>
      </c>
      <c r="G12" s="4">
        <v>0</v>
      </c>
      <c r="H12">
        <v>1</v>
      </c>
      <c r="I12" t="s">
        <v>10</v>
      </c>
      <c r="J12" t="s">
        <v>149</v>
      </c>
      <c r="M12" s="10" t="s">
        <v>13</v>
      </c>
      <c r="N12" s="11" t="s">
        <v>34</v>
      </c>
      <c r="O12" s="12">
        <v>425</v>
      </c>
      <c r="P12" s="12">
        <v>516</v>
      </c>
      <c r="Q12" s="12">
        <v>360</v>
      </c>
    </row>
    <row r="13" spans="1:20" x14ac:dyDescent="0.3">
      <c r="A13" s="1">
        <v>45321</v>
      </c>
      <c r="B13" t="s">
        <v>29</v>
      </c>
      <c r="C13" t="s">
        <v>157</v>
      </c>
      <c r="E13">
        <v>11</v>
      </c>
      <c r="F13">
        <v>13</v>
      </c>
      <c r="G13" s="4">
        <v>0</v>
      </c>
      <c r="I13" t="s">
        <v>10</v>
      </c>
      <c r="M13" s="10" t="s">
        <v>20</v>
      </c>
      <c r="N13" s="11" t="s">
        <v>21</v>
      </c>
      <c r="O13" s="12">
        <v>272</v>
      </c>
      <c r="P13" s="12">
        <v>330</v>
      </c>
      <c r="Q13" s="12">
        <v>119</v>
      </c>
    </row>
    <row r="14" spans="1:20" x14ac:dyDescent="0.3">
      <c r="A14" s="1">
        <v>45644</v>
      </c>
      <c r="B14" t="s">
        <v>29</v>
      </c>
      <c r="C14" t="s">
        <v>4</v>
      </c>
      <c r="E14">
        <v>13</v>
      </c>
      <c r="F14">
        <v>52</v>
      </c>
      <c r="G14" s="4">
        <v>0</v>
      </c>
      <c r="I14" t="s">
        <v>10</v>
      </c>
      <c r="J14" t="s">
        <v>153</v>
      </c>
      <c r="M14" s="10" t="s">
        <v>22</v>
      </c>
      <c r="N14" s="11" t="s">
        <v>23</v>
      </c>
      <c r="O14" s="12">
        <v>425</v>
      </c>
      <c r="P14" s="12">
        <v>507</v>
      </c>
      <c r="Q14" s="12" t="s">
        <v>24</v>
      </c>
    </row>
    <row r="15" spans="1:20" x14ac:dyDescent="0.3">
      <c r="A15" s="1"/>
      <c r="M15" s="10" t="s">
        <v>25</v>
      </c>
      <c r="N15" s="11" t="s">
        <v>26</v>
      </c>
      <c r="O15" s="12">
        <v>425</v>
      </c>
      <c r="P15" s="12">
        <v>515</v>
      </c>
      <c r="Q15" s="12" t="s">
        <v>24</v>
      </c>
    </row>
    <row r="16" spans="1:20" x14ac:dyDescent="0.3">
      <c r="A16" s="1"/>
      <c r="M16" s="10" t="s">
        <v>27</v>
      </c>
      <c r="N16" s="11" t="s">
        <v>28</v>
      </c>
      <c r="O16" s="12">
        <v>272</v>
      </c>
      <c r="P16" s="12">
        <v>354</v>
      </c>
      <c r="Q16" s="12">
        <v>196</v>
      </c>
    </row>
    <row r="17" spans="1:29" x14ac:dyDescent="0.3">
      <c r="A17" s="1"/>
      <c r="M17" s="10" t="s">
        <v>29</v>
      </c>
      <c r="N17" s="11" t="s">
        <v>30</v>
      </c>
      <c r="O17" s="12">
        <v>272</v>
      </c>
      <c r="P17" s="12">
        <v>333</v>
      </c>
      <c r="Q17" s="12">
        <v>220</v>
      </c>
    </row>
    <row r="18" spans="1:29" x14ac:dyDescent="0.3">
      <c r="A18" s="1"/>
    </row>
    <row r="19" spans="1:29" x14ac:dyDescent="0.3">
      <c r="A19" s="1"/>
      <c r="M19" s="35" t="s">
        <v>55</v>
      </c>
      <c r="N19" s="36"/>
      <c r="O19" s="36"/>
      <c r="P19" s="36"/>
      <c r="Q19" s="37"/>
      <c r="W19" s="48" t="s">
        <v>62</v>
      </c>
      <c r="X19" s="48"/>
      <c r="Y19" s="48"/>
      <c r="Z19" s="48"/>
      <c r="AA19" s="48"/>
      <c r="AB19" s="48"/>
      <c r="AC19" s="48"/>
    </row>
    <row r="20" spans="1:29" x14ac:dyDescent="0.3">
      <c r="A20" s="1"/>
      <c r="M20" s="8" t="s">
        <v>15</v>
      </c>
      <c r="N20" s="8" t="s">
        <v>16</v>
      </c>
      <c r="O20" s="8" t="s">
        <v>17</v>
      </c>
      <c r="P20" s="8" t="s">
        <v>18</v>
      </c>
      <c r="Q20" s="8" t="s">
        <v>19</v>
      </c>
      <c r="W20" s="8" t="s">
        <v>36</v>
      </c>
      <c r="X20" s="8" t="s">
        <v>13</v>
      </c>
      <c r="Y20" s="8" t="s">
        <v>37</v>
      </c>
      <c r="Z20" s="8" t="s">
        <v>22</v>
      </c>
      <c r="AA20" s="8" t="s">
        <v>25</v>
      </c>
      <c r="AB20" s="8" t="s">
        <v>27</v>
      </c>
      <c r="AC20" s="8" t="s">
        <v>29</v>
      </c>
    </row>
    <row r="21" spans="1:29" x14ac:dyDescent="0.3">
      <c r="A21" s="1"/>
      <c r="M21" s="10" t="s">
        <v>13</v>
      </c>
      <c r="N21" s="11" t="s">
        <v>56</v>
      </c>
      <c r="O21" s="12">
        <v>425</v>
      </c>
      <c r="P21" s="12">
        <v>535</v>
      </c>
      <c r="Q21" s="12">
        <v>261</v>
      </c>
      <c r="W21" s="10" t="s">
        <v>63</v>
      </c>
      <c r="X21" s="12" t="s">
        <v>24</v>
      </c>
      <c r="Y21" s="12" t="s">
        <v>24</v>
      </c>
      <c r="Z21" s="12" t="s">
        <v>24</v>
      </c>
      <c r="AA21" s="12" t="s">
        <v>24</v>
      </c>
      <c r="AB21" s="12" t="s">
        <v>24</v>
      </c>
      <c r="AC21" s="12" t="s">
        <v>24</v>
      </c>
    </row>
    <row r="22" spans="1:29" x14ac:dyDescent="0.3">
      <c r="A22" s="1"/>
      <c r="M22" s="10" t="s">
        <v>20</v>
      </c>
      <c r="N22" s="11" t="s">
        <v>57</v>
      </c>
      <c r="O22" s="12">
        <v>274</v>
      </c>
      <c r="P22" s="12">
        <v>356</v>
      </c>
      <c r="Q22" s="12">
        <v>130</v>
      </c>
      <c r="W22" s="10" t="s">
        <v>40</v>
      </c>
      <c r="X22" s="12">
        <v>42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3">
      <c r="A23" s="1"/>
      <c r="M23" s="10" t="s">
        <v>22</v>
      </c>
      <c r="N23" s="11" t="s">
        <v>58</v>
      </c>
      <c r="O23" s="12">
        <v>425</v>
      </c>
      <c r="P23" s="12">
        <v>540</v>
      </c>
      <c r="Q23" s="12">
        <v>319</v>
      </c>
      <c r="W23" s="10" t="s">
        <v>41</v>
      </c>
      <c r="X23" s="12">
        <v>0</v>
      </c>
      <c r="Y23" s="12" t="s">
        <v>24</v>
      </c>
      <c r="Z23" s="12" t="s">
        <v>24</v>
      </c>
      <c r="AA23" s="12" t="s">
        <v>24</v>
      </c>
      <c r="AB23" s="12">
        <v>0</v>
      </c>
      <c r="AC23" s="12">
        <v>0</v>
      </c>
    </row>
    <row r="24" spans="1:29" x14ac:dyDescent="0.3">
      <c r="A24" s="1"/>
      <c r="M24" s="10" t="s">
        <v>25</v>
      </c>
      <c r="N24" s="11" t="s">
        <v>59</v>
      </c>
      <c r="O24" s="12">
        <v>425</v>
      </c>
      <c r="P24" s="12">
        <v>528</v>
      </c>
      <c r="Q24" s="12" t="s">
        <v>24</v>
      </c>
      <c r="W24" s="10" t="s">
        <v>64</v>
      </c>
      <c r="X24" s="12">
        <v>116</v>
      </c>
      <c r="Y24" s="12">
        <v>540</v>
      </c>
      <c r="Z24" s="12">
        <v>2</v>
      </c>
      <c r="AA24" s="12">
        <v>2</v>
      </c>
      <c r="AB24" s="12">
        <v>11</v>
      </c>
      <c r="AC24" s="12">
        <v>3</v>
      </c>
    </row>
    <row r="25" spans="1:29" x14ac:dyDescent="0.3">
      <c r="A25" s="1"/>
      <c r="M25" s="10" t="s">
        <v>27</v>
      </c>
      <c r="N25" s="11" t="s">
        <v>60</v>
      </c>
      <c r="O25" s="12">
        <v>272</v>
      </c>
      <c r="P25" s="12">
        <v>427</v>
      </c>
      <c r="Q25" s="12">
        <v>301</v>
      </c>
      <c r="W25" s="10" t="s">
        <v>65</v>
      </c>
      <c r="X25" s="12">
        <v>25</v>
      </c>
      <c r="Y25" s="12">
        <v>8</v>
      </c>
      <c r="Z25" s="12">
        <v>6</v>
      </c>
      <c r="AA25" s="12">
        <v>15</v>
      </c>
      <c r="AB25" s="12">
        <v>24</v>
      </c>
      <c r="AC25" s="12">
        <v>9</v>
      </c>
    </row>
    <row r="26" spans="1:29" x14ac:dyDescent="0.3">
      <c r="M26" s="10" t="s">
        <v>29</v>
      </c>
      <c r="N26" s="11" t="s">
        <v>61</v>
      </c>
      <c r="O26" s="12" t="s">
        <v>24</v>
      </c>
      <c r="P26" s="12" t="s">
        <v>24</v>
      </c>
      <c r="Q26" s="12">
        <v>207</v>
      </c>
      <c r="W26" s="10" t="s">
        <v>66</v>
      </c>
      <c r="X26" s="12" t="s">
        <v>24</v>
      </c>
      <c r="Y26" s="12" t="s">
        <v>24</v>
      </c>
      <c r="Z26" s="12" t="s">
        <v>24</v>
      </c>
      <c r="AA26" s="12" t="s">
        <v>24</v>
      </c>
      <c r="AB26" s="12" t="s">
        <v>24</v>
      </c>
      <c r="AC26" s="12" t="s">
        <v>24</v>
      </c>
    </row>
    <row r="28" spans="1:29" ht="17.399999999999999" x14ac:dyDescent="0.3">
      <c r="M28" s="34" t="s">
        <v>78</v>
      </c>
      <c r="N28" s="34"/>
      <c r="O28" s="34"/>
      <c r="P28" s="34"/>
      <c r="Q28" s="34"/>
      <c r="R28" s="34"/>
      <c r="S28" s="34"/>
    </row>
    <row r="29" spans="1:29" x14ac:dyDescent="0.3">
      <c r="M29" s="13" t="s">
        <v>36</v>
      </c>
      <c r="N29" s="13" t="s">
        <v>13</v>
      </c>
      <c r="O29" s="13" t="s">
        <v>37</v>
      </c>
      <c r="P29" s="13" t="s">
        <v>22</v>
      </c>
      <c r="Q29" s="13" t="s">
        <v>25</v>
      </c>
      <c r="R29" s="13" t="s">
        <v>27</v>
      </c>
      <c r="S29" s="13" t="s">
        <v>29</v>
      </c>
    </row>
    <row r="30" spans="1:29" x14ac:dyDescent="0.3">
      <c r="M30" s="14" t="s">
        <v>63</v>
      </c>
      <c r="N30" s="15" t="s">
        <v>24</v>
      </c>
      <c r="O30" s="15" t="s">
        <v>24</v>
      </c>
      <c r="P30" s="15" t="s">
        <v>24</v>
      </c>
      <c r="Q30" s="15" t="s">
        <v>24</v>
      </c>
      <c r="R30" s="15" t="s">
        <v>24</v>
      </c>
      <c r="S30" s="15" t="s">
        <v>24</v>
      </c>
    </row>
    <row r="31" spans="1:29" x14ac:dyDescent="0.3">
      <c r="M31" s="14" t="s">
        <v>40</v>
      </c>
      <c r="N31" s="15">
        <v>120</v>
      </c>
      <c r="O31" s="15" t="s">
        <v>24</v>
      </c>
      <c r="P31" s="15">
        <v>0</v>
      </c>
      <c r="Q31" s="15">
        <v>0</v>
      </c>
      <c r="R31" s="15" t="s">
        <v>24</v>
      </c>
      <c r="S31" s="15">
        <v>0</v>
      </c>
    </row>
    <row r="32" spans="1:29" x14ac:dyDescent="0.3">
      <c r="M32" s="14" t="s">
        <v>41</v>
      </c>
      <c r="N32" s="15" t="s">
        <v>24</v>
      </c>
      <c r="O32" s="15" t="s">
        <v>24</v>
      </c>
      <c r="P32" s="15" t="s">
        <v>24</v>
      </c>
      <c r="Q32" s="15" t="s">
        <v>24</v>
      </c>
      <c r="R32" s="15">
        <v>0</v>
      </c>
      <c r="S32" s="15">
        <v>0</v>
      </c>
    </row>
    <row r="33" spans="13:29" x14ac:dyDescent="0.3">
      <c r="M33" s="14" t="s">
        <v>64</v>
      </c>
      <c r="N33" s="15">
        <v>7</v>
      </c>
      <c r="O33" s="15">
        <v>242</v>
      </c>
      <c r="P33" s="15">
        <v>1</v>
      </c>
      <c r="Q33" s="15">
        <v>0</v>
      </c>
      <c r="R33" s="15">
        <v>24</v>
      </c>
      <c r="S33" s="15">
        <v>5</v>
      </c>
    </row>
    <row r="34" spans="13:29" x14ac:dyDescent="0.3">
      <c r="M34" s="14" t="s">
        <v>65</v>
      </c>
      <c r="N34" s="15">
        <v>37</v>
      </c>
      <c r="O34" s="15">
        <v>77</v>
      </c>
      <c r="P34" s="15">
        <v>7</v>
      </c>
      <c r="Q34" s="15">
        <v>15</v>
      </c>
      <c r="R34" s="15">
        <v>94</v>
      </c>
      <c r="S34" s="15">
        <v>79</v>
      </c>
    </row>
    <row r="35" spans="13:29" x14ac:dyDescent="0.3">
      <c r="M35" s="14" t="s">
        <v>66</v>
      </c>
      <c r="N35" s="15" t="s">
        <v>24</v>
      </c>
      <c r="O35" s="15" t="s">
        <v>24</v>
      </c>
      <c r="P35" s="15" t="s">
        <v>24</v>
      </c>
      <c r="Q35" s="15" t="s">
        <v>24</v>
      </c>
      <c r="R35" s="15" t="s">
        <v>24</v>
      </c>
      <c r="S35" s="15" t="s">
        <v>24</v>
      </c>
    </row>
    <row r="37" spans="13:29" ht="17.399999999999999" x14ac:dyDescent="0.3">
      <c r="M37" s="31" t="s">
        <v>85</v>
      </c>
      <c r="N37" s="32"/>
      <c r="O37" s="32"/>
      <c r="P37" s="32"/>
      <c r="Q37" s="33"/>
      <c r="W37" s="34" t="s">
        <v>84</v>
      </c>
      <c r="X37" s="34"/>
      <c r="Y37" s="34"/>
      <c r="Z37" s="34"/>
      <c r="AA37" s="34"/>
      <c r="AB37" s="34"/>
      <c r="AC37" s="34"/>
    </row>
    <row r="38" spans="13:29" ht="26.4" x14ac:dyDescent="0.3">
      <c r="M38" s="8" t="s">
        <v>15</v>
      </c>
      <c r="N38" s="9" t="s">
        <v>16</v>
      </c>
      <c r="O38" s="9" t="s">
        <v>17</v>
      </c>
      <c r="P38" s="9" t="s">
        <v>18</v>
      </c>
      <c r="Q38" s="9" t="s">
        <v>19</v>
      </c>
      <c r="W38" s="13" t="s">
        <v>36</v>
      </c>
      <c r="X38" s="13" t="s">
        <v>13</v>
      </c>
      <c r="Y38" s="13" t="s">
        <v>37</v>
      </c>
      <c r="Z38" s="13" t="s">
        <v>22</v>
      </c>
      <c r="AA38" s="13" t="s">
        <v>25</v>
      </c>
      <c r="AB38" s="13" t="s">
        <v>27</v>
      </c>
      <c r="AC38" s="13" t="s">
        <v>29</v>
      </c>
    </row>
    <row r="39" spans="13:29" x14ac:dyDescent="0.3">
      <c r="M39" s="14" t="s">
        <v>13</v>
      </c>
      <c r="N39" s="16" t="s">
        <v>86</v>
      </c>
      <c r="O39" s="15">
        <v>435</v>
      </c>
      <c r="P39" s="15">
        <v>538</v>
      </c>
      <c r="Q39" s="15">
        <v>256</v>
      </c>
      <c r="W39" s="14" t="s">
        <v>63</v>
      </c>
      <c r="X39" s="15" t="s">
        <v>24</v>
      </c>
      <c r="Y39" s="15" t="s">
        <v>24</v>
      </c>
      <c r="Z39" s="15" t="s">
        <v>24</v>
      </c>
      <c r="AA39" s="15" t="s">
        <v>24</v>
      </c>
      <c r="AB39" s="15" t="s">
        <v>24</v>
      </c>
      <c r="AC39" s="15" t="s">
        <v>24</v>
      </c>
    </row>
    <row r="40" spans="13:29" x14ac:dyDescent="0.3">
      <c r="M40" s="14" t="s">
        <v>20</v>
      </c>
      <c r="N40" s="16" t="s">
        <v>87</v>
      </c>
      <c r="O40" s="15" t="s">
        <v>24</v>
      </c>
      <c r="P40" s="15" t="s">
        <v>24</v>
      </c>
      <c r="Q40" s="15">
        <v>175</v>
      </c>
      <c r="W40" s="14" t="s">
        <v>40</v>
      </c>
      <c r="X40" s="15">
        <v>19</v>
      </c>
      <c r="Y40" s="15" t="s">
        <v>24</v>
      </c>
      <c r="Z40" s="15">
        <v>1</v>
      </c>
      <c r="AA40" s="15">
        <v>0</v>
      </c>
      <c r="AB40" s="15" t="s">
        <v>24</v>
      </c>
      <c r="AC40" s="15" t="s">
        <v>24</v>
      </c>
    </row>
    <row r="41" spans="13:29" x14ac:dyDescent="0.3">
      <c r="M41" s="14" t="s">
        <v>22</v>
      </c>
      <c r="N41" s="16" t="s">
        <v>88</v>
      </c>
      <c r="O41" s="15">
        <v>428</v>
      </c>
      <c r="P41" s="15">
        <v>561</v>
      </c>
      <c r="Q41" s="15">
        <v>319</v>
      </c>
      <c r="W41" s="14" t="s">
        <v>41</v>
      </c>
      <c r="X41" s="15" t="s">
        <v>24</v>
      </c>
      <c r="Y41" s="15" t="s">
        <v>24</v>
      </c>
      <c r="Z41" s="15" t="s">
        <v>24</v>
      </c>
      <c r="AA41" s="15" t="s">
        <v>24</v>
      </c>
      <c r="AB41" s="15" t="s">
        <v>24</v>
      </c>
      <c r="AC41" s="15">
        <v>0</v>
      </c>
    </row>
    <row r="42" spans="13:29" x14ac:dyDescent="0.3">
      <c r="M42" s="14" t="s">
        <v>25</v>
      </c>
      <c r="N42" s="16" t="s">
        <v>89</v>
      </c>
      <c r="O42" s="15">
        <v>425</v>
      </c>
      <c r="P42" s="15">
        <v>562</v>
      </c>
      <c r="Q42" s="15">
        <v>564</v>
      </c>
      <c r="W42" s="14" t="s">
        <v>64</v>
      </c>
      <c r="X42" s="15">
        <v>35</v>
      </c>
      <c r="Y42" s="15">
        <v>20</v>
      </c>
      <c r="Z42" s="15">
        <v>0</v>
      </c>
      <c r="AA42" s="15">
        <v>0</v>
      </c>
      <c r="AB42" s="15">
        <v>0</v>
      </c>
      <c r="AC42" s="15">
        <v>21</v>
      </c>
    </row>
    <row r="43" spans="13:29" x14ac:dyDescent="0.3">
      <c r="M43" s="14" t="s">
        <v>27</v>
      </c>
      <c r="N43" s="16">
        <v>0</v>
      </c>
      <c r="O43" s="15" t="s">
        <v>24</v>
      </c>
      <c r="P43" s="15" t="s">
        <v>24</v>
      </c>
      <c r="Q43" s="15" t="s">
        <v>24</v>
      </c>
      <c r="W43" s="14" t="s">
        <v>65</v>
      </c>
      <c r="X43" s="15">
        <v>48</v>
      </c>
      <c r="Y43" s="15">
        <v>18</v>
      </c>
      <c r="Z43" s="15">
        <v>19</v>
      </c>
      <c r="AA43" s="15">
        <v>10</v>
      </c>
      <c r="AB43" s="15">
        <v>0</v>
      </c>
      <c r="AC43" s="15">
        <v>69</v>
      </c>
    </row>
    <row r="44" spans="13:29" x14ac:dyDescent="0.3">
      <c r="M44" s="14" t="s">
        <v>29</v>
      </c>
      <c r="N44" s="16" t="s">
        <v>90</v>
      </c>
      <c r="O44" s="15">
        <v>268</v>
      </c>
      <c r="P44" s="15">
        <v>403</v>
      </c>
      <c r="Q44" s="15">
        <v>244</v>
      </c>
      <c r="W44" s="14" t="s">
        <v>66</v>
      </c>
      <c r="X44" s="15" t="s">
        <v>24</v>
      </c>
      <c r="Y44" s="15" t="s">
        <v>24</v>
      </c>
      <c r="Z44" s="15" t="s">
        <v>24</v>
      </c>
      <c r="AA44" s="15" t="s">
        <v>24</v>
      </c>
      <c r="AB44" s="15" t="s">
        <v>24</v>
      </c>
      <c r="AC44" s="15" t="s">
        <v>24</v>
      </c>
    </row>
    <row r="46" spans="13:29" x14ac:dyDescent="0.3">
      <c r="M46" s="35" t="s">
        <v>108</v>
      </c>
      <c r="N46" s="36"/>
      <c r="O46" s="36"/>
      <c r="P46" s="36"/>
      <c r="Q46" s="37"/>
    </row>
    <row r="47" spans="13:29" ht="26.4" x14ac:dyDescent="0.3">
      <c r="M47" s="8" t="s">
        <v>15</v>
      </c>
      <c r="N47" s="9" t="s">
        <v>16</v>
      </c>
      <c r="O47" s="9" t="s">
        <v>17</v>
      </c>
      <c r="P47" s="9" t="s">
        <v>18</v>
      </c>
      <c r="Q47" s="9" t="s">
        <v>19</v>
      </c>
    </row>
    <row r="48" spans="13:29" x14ac:dyDescent="0.3">
      <c r="M48" s="10" t="s">
        <v>13</v>
      </c>
      <c r="N48" s="11" t="s">
        <v>109</v>
      </c>
      <c r="O48" s="12">
        <v>441</v>
      </c>
      <c r="P48" s="12">
        <v>549</v>
      </c>
      <c r="Q48" s="12">
        <v>282</v>
      </c>
    </row>
    <row r="49" spans="13:17" x14ac:dyDescent="0.3">
      <c r="M49" s="10" t="s">
        <v>20</v>
      </c>
      <c r="N49" s="11" t="s">
        <v>110</v>
      </c>
      <c r="O49" s="12" t="s">
        <v>24</v>
      </c>
      <c r="P49" s="12" t="s">
        <v>24</v>
      </c>
      <c r="Q49" s="12">
        <v>226</v>
      </c>
    </row>
    <row r="50" spans="13:17" x14ac:dyDescent="0.3">
      <c r="M50" s="10" t="s">
        <v>22</v>
      </c>
      <c r="N50" s="11" t="s">
        <v>111</v>
      </c>
      <c r="O50" s="12">
        <v>428</v>
      </c>
      <c r="P50" s="12">
        <v>555</v>
      </c>
      <c r="Q50" s="12">
        <v>456</v>
      </c>
    </row>
    <row r="51" spans="13:17" x14ac:dyDescent="0.3">
      <c r="M51" s="10" t="s">
        <v>25</v>
      </c>
      <c r="N51" s="11" t="s">
        <v>112</v>
      </c>
      <c r="O51" s="12">
        <v>441</v>
      </c>
      <c r="P51" s="12">
        <v>561</v>
      </c>
      <c r="Q51" s="12">
        <v>483</v>
      </c>
    </row>
    <row r="52" spans="13:17" x14ac:dyDescent="0.3">
      <c r="M52" s="10" t="s">
        <v>27</v>
      </c>
      <c r="N52" s="11">
        <v>0</v>
      </c>
      <c r="O52" s="12" t="s">
        <v>24</v>
      </c>
      <c r="P52" s="12" t="s">
        <v>24</v>
      </c>
      <c r="Q52" s="12" t="s">
        <v>24</v>
      </c>
    </row>
    <row r="53" spans="13:17" x14ac:dyDescent="0.3">
      <c r="M53" s="10" t="s">
        <v>29</v>
      </c>
      <c r="N53" s="11" t="s">
        <v>113</v>
      </c>
      <c r="O53" s="12">
        <v>259</v>
      </c>
      <c r="P53" s="12">
        <v>417</v>
      </c>
      <c r="Q53" s="12">
        <v>289</v>
      </c>
    </row>
    <row r="54" spans="13:17" x14ac:dyDescent="0.3">
      <c r="M54" s="14" t="s">
        <v>29</v>
      </c>
      <c r="N54" s="16" t="s">
        <v>107</v>
      </c>
      <c r="O54" s="15">
        <v>265</v>
      </c>
      <c r="P54" s="15">
        <v>387</v>
      </c>
      <c r="Q54" s="15">
        <v>305</v>
      </c>
    </row>
    <row r="56" spans="13:17" ht="17.399999999999999" x14ac:dyDescent="0.3">
      <c r="M56" s="38" t="s">
        <v>97</v>
      </c>
      <c r="N56" s="39"/>
      <c r="O56" s="39"/>
      <c r="P56" s="39"/>
      <c r="Q56" s="40"/>
    </row>
    <row r="57" spans="13:17" x14ac:dyDescent="0.3">
      <c r="M57" s="17"/>
      <c r="N57" s="18"/>
      <c r="O57" s="18"/>
      <c r="P57" s="18"/>
      <c r="Q57" s="19"/>
    </row>
    <row r="58" spans="13:17" ht="26.4" x14ac:dyDescent="0.3">
      <c r="M58" s="20" t="s">
        <v>15</v>
      </c>
      <c r="N58" s="21" t="s">
        <v>16</v>
      </c>
      <c r="O58" s="21" t="s">
        <v>98</v>
      </c>
      <c r="P58" s="21" t="s">
        <v>99</v>
      </c>
      <c r="Q58" s="21" t="s">
        <v>19</v>
      </c>
    </row>
    <row r="59" spans="13:17" x14ac:dyDescent="0.3">
      <c r="M59" s="14" t="s">
        <v>13</v>
      </c>
      <c r="N59" s="16" t="s">
        <v>100</v>
      </c>
      <c r="O59" s="15" t="s">
        <v>24</v>
      </c>
      <c r="P59" s="15" t="s">
        <v>24</v>
      </c>
      <c r="Q59" s="15">
        <v>276</v>
      </c>
    </row>
    <row r="60" spans="13:17" x14ac:dyDescent="0.3">
      <c r="M60" s="14" t="s">
        <v>20</v>
      </c>
      <c r="N60" s="16">
        <v>0</v>
      </c>
      <c r="O60" s="15" t="s">
        <v>24</v>
      </c>
      <c r="P60" s="15" t="s">
        <v>24</v>
      </c>
      <c r="Q60" s="15" t="s">
        <v>24</v>
      </c>
    </row>
    <row r="61" spans="13:17" x14ac:dyDescent="0.3">
      <c r="M61" s="14" t="s">
        <v>22</v>
      </c>
      <c r="N61" s="16" t="s">
        <v>101</v>
      </c>
      <c r="O61" s="15">
        <v>441</v>
      </c>
      <c r="P61" s="15">
        <v>581</v>
      </c>
      <c r="Q61" s="15" t="s">
        <v>24</v>
      </c>
    </row>
    <row r="62" spans="13:17" x14ac:dyDescent="0.3">
      <c r="M62" s="14" t="s">
        <v>25</v>
      </c>
      <c r="N62" s="16" t="s">
        <v>102</v>
      </c>
      <c r="O62" s="15" t="s">
        <v>24</v>
      </c>
      <c r="P62" s="15" t="s">
        <v>24</v>
      </c>
      <c r="Q62" s="15">
        <v>457</v>
      </c>
    </row>
    <row r="63" spans="13:17" x14ac:dyDescent="0.3">
      <c r="M63" s="14" t="s">
        <v>27</v>
      </c>
      <c r="N63" s="16" t="s">
        <v>103</v>
      </c>
      <c r="O63" s="15" t="s">
        <v>104</v>
      </c>
      <c r="P63" s="15" t="s">
        <v>105</v>
      </c>
      <c r="Q63" s="15" t="s">
        <v>106</v>
      </c>
    </row>
    <row r="64" spans="13:17" x14ac:dyDescent="0.3">
      <c r="M64" s="14" t="s">
        <v>29</v>
      </c>
      <c r="N64" s="16" t="s">
        <v>107</v>
      </c>
      <c r="O64" s="15">
        <v>265</v>
      </c>
      <c r="P64" s="15">
        <v>387</v>
      </c>
      <c r="Q64" s="15">
        <v>305</v>
      </c>
    </row>
    <row r="66" spans="13:16" x14ac:dyDescent="0.3">
      <c r="M66" s="41" t="s">
        <v>126</v>
      </c>
      <c r="N66" s="42"/>
      <c r="O66" s="42"/>
      <c r="P66" s="43"/>
    </row>
    <row r="67" spans="13:16" x14ac:dyDescent="0.3">
      <c r="M67" s="44"/>
      <c r="N67" s="45"/>
      <c r="O67" s="45"/>
      <c r="P67" s="46"/>
    </row>
    <row r="68" spans="13:16" ht="39.6" x14ac:dyDescent="0.3">
      <c r="M68" s="20" t="s">
        <v>15</v>
      </c>
      <c r="N68" s="21" t="s">
        <v>127</v>
      </c>
      <c r="O68" s="21" t="s">
        <v>128</v>
      </c>
      <c r="P68" s="21" t="s">
        <v>129</v>
      </c>
    </row>
    <row r="69" spans="13:16" x14ac:dyDescent="0.3">
      <c r="M69" s="14" t="s">
        <v>13</v>
      </c>
      <c r="N69" s="16" t="s">
        <v>130</v>
      </c>
      <c r="O69" s="15">
        <v>51</v>
      </c>
      <c r="P69" s="15" t="s">
        <v>131</v>
      </c>
    </row>
    <row r="70" spans="13:16" x14ac:dyDescent="0.3">
      <c r="M70" s="14" t="s">
        <v>22</v>
      </c>
      <c r="N70" s="16" t="s">
        <v>132</v>
      </c>
      <c r="O70" s="15">
        <v>1</v>
      </c>
      <c r="P70" s="15" t="s">
        <v>133</v>
      </c>
    </row>
    <row r="71" spans="13:16" ht="15" thickBot="1" x14ac:dyDescent="0.35">
      <c r="M71" s="24" t="s">
        <v>25</v>
      </c>
      <c r="N71" s="25" t="s">
        <v>134</v>
      </c>
      <c r="O71" s="26">
        <v>3</v>
      </c>
      <c r="P71" s="26" t="s">
        <v>132</v>
      </c>
    </row>
    <row r="72" spans="13:16" x14ac:dyDescent="0.3">
      <c r="M72" s="27"/>
      <c r="N72" s="28" t="s">
        <v>135</v>
      </c>
      <c r="O72" s="29">
        <v>0.84615384615384615</v>
      </c>
      <c r="P72" s="30">
        <v>0.15384615384615385</v>
      </c>
    </row>
    <row r="74" spans="13:16" x14ac:dyDescent="0.3">
      <c r="M74" s="41" t="s">
        <v>136</v>
      </c>
      <c r="N74" s="42"/>
      <c r="O74" s="42"/>
      <c r="P74" s="43"/>
    </row>
    <row r="75" spans="13:16" x14ac:dyDescent="0.3">
      <c r="M75" s="44"/>
      <c r="N75" s="45"/>
      <c r="O75" s="45"/>
      <c r="P75" s="46"/>
    </row>
    <row r="76" spans="13:16" ht="39.6" x14ac:dyDescent="0.3">
      <c r="M76" s="20" t="s">
        <v>15</v>
      </c>
      <c r="N76" s="21" t="s">
        <v>127</v>
      </c>
      <c r="O76" s="21" t="s">
        <v>128</v>
      </c>
      <c r="P76" s="21" t="s">
        <v>129</v>
      </c>
    </row>
    <row r="77" spans="13:16" x14ac:dyDescent="0.3">
      <c r="M77" s="14" t="s">
        <v>20</v>
      </c>
      <c r="N77" s="16" t="s">
        <v>137</v>
      </c>
      <c r="O77" s="15">
        <v>412</v>
      </c>
      <c r="P77" s="15" t="s">
        <v>138</v>
      </c>
    </row>
    <row r="78" spans="13:16" x14ac:dyDescent="0.3">
      <c r="M78" s="14" t="s">
        <v>27</v>
      </c>
      <c r="N78" s="16" t="s">
        <v>139</v>
      </c>
      <c r="O78" s="15">
        <v>8</v>
      </c>
      <c r="P78" s="15" t="s">
        <v>140</v>
      </c>
    </row>
    <row r="79" spans="13:16" x14ac:dyDescent="0.3">
      <c r="M79" s="14" t="s">
        <v>29</v>
      </c>
      <c r="N79" s="16" t="s">
        <v>100</v>
      </c>
      <c r="O79" s="15">
        <v>47</v>
      </c>
      <c r="P79" s="15" t="s">
        <v>141</v>
      </c>
    </row>
    <row r="80" spans="13:16" x14ac:dyDescent="0.3">
      <c r="M80" s="27"/>
      <c r="N80" s="28" t="s">
        <v>142</v>
      </c>
      <c r="O80" s="29">
        <v>0.71846153846153848</v>
      </c>
      <c r="P80" s="30">
        <v>0.28153846153846152</v>
      </c>
    </row>
  </sheetData>
  <mergeCells count="11">
    <mergeCell ref="M4:T4"/>
    <mergeCell ref="M10:Q10"/>
    <mergeCell ref="M19:Q19"/>
    <mergeCell ref="W19:AC19"/>
    <mergeCell ref="M66:P67"/>
    <mergeCell ref="M74:P75"/>
    <mergeCell ref="M28:S28"/>
    <mergeCell ref="W37:AC37"/>
    <mergeCell ref="M37:Q37"/>
    <mergeCell ref="M46:Q46"/>
    <mergeCell ref="M56:Q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IP Pond 1</vt:lpstr>
      <vt:lpstr>IP Pond 2</vt:lpstr>
      <vt:lpstr>IP Pond 3</vt:lpstr>
      <vt:lpstr>IP Pond 4</vt:lpstr>
      <vt:lpstr>IP Pond 5</vt:lpstr>
      <vt:lpstr>IP Pond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Lantow, Jeffrey C</dc:creator>
  <cp:lastModifiedBy>Lantow, Jeffrey C</cp:lastModifiedBy>
  <dcterms:created xsi:type="dcterms:W3CDTF">2025-09-19T22:21:11Z</dcterms:created>
  <dcterms:modified xsi:type="dcterms:W3CDTF">2025-11-03T21:46:41Z</dcterms:modified>
</cp:coreProperties>
</file>