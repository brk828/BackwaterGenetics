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126"/>
  <workbookPr defaultThemeVersion="166925"/>
  <mc:AlternateContent xmlns:mc="http://schemas.openxmlformats.org/markup-compatibility/2006">
    <mc:Choice Requires="x15">
      <x15ac:absPath xmlns:x15ac="http://schemas.microsoft.com/office/spreadsheetml/2010/11/ac" url="N:\MSCP\TempMSCP\F5_Post Development Backwaters\Imperial Ponds\Data\FY18\Netting\"/>
    </mc:Choice>
  </mc:AlternateContent>
  <xr:revisionPtr revIDLastSave="0" documentId="10_ncr:100000_{FADC9145-8606-4537-8836-C158C9E98A5B}" xr6:coauthVersionLast="31" xr6:coauthVersionMax="31" xr10:uidLastSave="{00000000-0000-0000-0000-000000000000}"/>
  <bookViews>
    <workbookView xWindow="0" yWindow="0" windowWidth="28800" windowHeight="14025" activeTab="5" xr2:uid="{52E88101-F655-4585-A1E8-E8BFFDF0EB24}"/>
  </bookViews>
  <sheets>
    <sheet name="Larvae" sheetId="1" r:id="rId1"/>
    <sheet name="Trammel" sheetId="2" r:id="rId2"/>
    <sheet name="E-Fish" sheetId="4" r:id="rId3"/>
    <sheet name="Hoop" sheetId="5" r:id="rId4"/>
    <sheet name="Minnow" sheetId="6" r:id="rId5"/>
    <sheet name="Pond 3 Fish" sheetId="3" r:id="rId6"/>
    <sheet name="Scanning" sheetId="7" r:id="rId7"/>
  </sheets>
  <calcPr calcId="17901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3" i="7" l="1"/>
  <c r="S32" i="7"/>
  <c r="S31" i="7"/>
  <c r="S30" i="7"/>
  <c r="S29" i="7"/>
  <c r="S28" i="7"/>
  <c r="S27" i="7"/>
  <c r="S26" i="7"/>
  <c r="S25" i="7"/>
  <c r="S24" i="7"/>
  <c r="S23" i="7"/>
  <c r="S22" i="7"/>
  <c r="S21" i="7"/>
  <c r="S20" i="7"/>
  <c r="S19" i="7"/>
  <c r="S18" i="7"/>
  <c r="S17" i="7"/>
  <c r="S16" i="7"/>
  <c r="S15" i="7"/>
  <c r="S14" i="7"/>
  <c r="S13" i="7"/>
  <c r="S12" i="7"/>
  <c r="S11" i="7"/>
  <c r="S10" i="7"/>
  <c r="S9" i="7"/>
  <c r="S8" i="7"/>
  <c r="S7" i="7"/>
  <c r="S6" i="7"/>
  <c r="C9" i="7" l="1" a="1"/>
  <c r="C9" i="7" s="1"/>
  <c r="C8" i="7" a="1"/>
  <c r="C8" i="7" s="1"/>
  <c r="C7" i="7" a="1"/>
  <c r="C7" i="7" s="1"/>
  <c r="C13" i="7" l="1"/>
  <c r="C12" i="7"/>
  <c r="C16" i="7"/>
  <c r="C11" i="7"/>
  <c r="C15" i="7" s="1"/>
  <c r="C17" i="7" l="1"/>
</calcChain>
</file>

<file path=xl/sharedStrings.xml><?xml version="1.0" encoding="utf-8"?>
<sst xmlns="http://schemas.openxmlformats.org/spreadsheetml/2006/main" count="474" uniqueCount="222">
  <si>
    <t>Pond</t>
  </si>
  <si>
    <t>Number of Larvae</t>
  </si>
  <si>
    <t>Date</t>
  </si>
  <si>
    <t>Trap</t>
  </si>
  <si>
    <t>Number of traps/locations</t>
  </si>
  <si>
    <t>Dip Net</t>
  </si>
  <si>
    <t>Type of survey</t>
  </si>
  <si>
    <t>Trammel</t>
  </si>
  <si>
    <t>Net Size</t>
  </si>
  <si>
    <t>Number of Nets</t>
  </si>
  <si>
    <t>Number of fish</t>
  </si>
  <si>
    <t>Species</t>
  </si>
  <si>
    <t>Length</t>
  </si>
  <si>
    <t>Weight</t>
  </si>
  <si>
    <t>Tag Number</t>
  </si>
  <si>
    <t>Recap</t>
  </si>
  <si>
    <t>Sex</t>
  </si>
  <si>
    <t>Notes</t>
  </si>
  <si>
    <t>RASU</t>
  </si>
  <si>
    <t>Y</t>
  </si>
  <si>
    <t>F</t>
  </si>
  <si>
    <t>M</t>
  </si>
  <si>
    <t>1" Trammel</t>
  </si>
  <si>
    <t>Gear Type</t>
  </si>
  <si>
    <t>Deformities</t>
  </si>
  <si>
    <t>E-fish</t>
  </si>
  <si>
    <t>Seconds</t>
  </si>
  <si>
    <t>Minnow Trap</t>
  </si>
  <si>
    <t>Number of Traps</t>
  </si>
  <si>
    <t>Hoop Net</t>
  </si>
  <si>
    <t>Fish were not marked as to which net they were captured, it could've been 1/2" also</t>
  </si>
  <si>
    <t>003BEA52C8</t>
  </si>
  <si>
    <t>003BEA622E</t>
  </si>
  <si>
    <t>003BEA606C</t>
  </si>
  <si>
    <t>003BEA891F</t>
  </si>
  <si>
    <t>003BEA22AF</t>
  </si>
  <si>
    <t>003BEA5335</t>
  </si>
  <si>
    <t>003BEA56AC</t>
  </si>
  <si>
    <t>RIPE, EXPRESSING</t>
  </si>
  <si>
    <t xml:space="preserve">RIPE  </t>
  </si>
  <si>
    <t>003BEA571B</t>
  </si>
  <si>
    <t>003BEA608F</t>
  </si>
  <si>
    <t>003BEA22C4</t>
  </si>
  <si>
    <t>003BEA52E3</t>
  </si>
  <si>
    <t>003BEA6061</t>
  </si>
  <si>
    <t>003BEA6087</t>
  </si>
  <si>
    <t>003BEA22DA</t>
  </si>
  <si>
    <t>003BEA571D</t>
  </si>
  <si>
    <t>003BEA52DE</t>
  </si>
  <si>
    <t>003BEA61DE</t>
  </si>
  <si>
    <t>003BEA5C2D</t>
  </si>
  <si>
    <t>003BEA22DE</t>
  </si>
  <si>
    <t>003BEA22BF</t>
  </si>
  <si>
    <t>003BEA54F3</t>
  </si>
  <si>
    <t>003BEA22DB</t>
  </si>
  <si>
    <t>003BEA2295</t>
  </si>
  <si>
    <t>003BEA88B7</t>
  </si>
  <si>
    <t>003BEA5497</t>
  </si>
  <si>
    <t>003BEA8931</t>
  </si>
  <si>
    <t>003BEA7488</t>
  </si>
  <si>
    <t>003BEA22E8</t>
  </si>
  <si>
    <t>003BEA56B9</t>
  </si>
  <si>
    <t>003BEA551B</t>
  </si>
  <si>
    <t>003BEA56D5</t>
  </si>
  <si>
    <r>
      <t xml:space="preserve">This is a population calculator for a mark-recapture "Peterson Estimate" of a closed populaton.  To use the calculator, enter a list of unsorted PIT tags from the first trip (n1) under the blue highlight, and enter a list of unsorted PIT tags from the second trip (n2) under the green highlight.  This calculator is designed to handle upto 3000 PIT tags per trip and 200 recaptures, </t>
    </r>
    <r>
      <rPr>
        <b/>
        <sz val="11"/>
        <color rgb="FFFF0000"/>
        <rFont val="Arial"/>
        <family val="2"/>
      </rPr>
      <t>remeber to remove to test tags</t>
    </r>
    <r>
      <rPr>
        <sz val="11"/>
        <rFont val="Arial"/>
        <family val="2"/>
      </rPr>
      <t>.  The population results are for the week of the first trip, the estimate is displayed in red with the upper limit in orange and lower limit in yellow.  This calculator generates the 95% confidence intervals from the distribution table (middle) based on the number of recaptures.  For 50 or fewer recaps the calculator uses the Poisson distirbution found in Seber (1973).  The distribution is assumed normal with more than 50 recaps and the and the table and formulas change to incorporate the high number of recaps.</t>
    </r>
  </si>
  <si>
    <t>Chapman modification of the            Lincoln-Peterson model</t>
  </si>
  <si>
    <t xml:space="preserve"> Poisson Distribution Table</t>
  </si>
  <si>
    <t>Unsorted PIT Tags</t>
  </si>
  <si>
    <r>
      <t>N</t>
    </r>
    <r>
      <rPr>
        <vertAlign val="subscript"/>
        <sz val="12"/>
        <rFont val="Arial"/>
        <family val="2"/>
      </rPr>
      <t>c</t>
    </r>
    <r>
      <rPr>
        <sz val="12"/>
        <rFont val="Arial"/>
        <family val="2"/>
      </rPr>
      <t>=[(n</t>
    </r>
    <r>
      <rPr>
        <vertAlign val="subscript"/>
        <sz val="12"/>
        <rFont val="Arial"/>
        <family val="2"/>
      </rPr>
      <t>1</t>
    </r>
    <r>
      <rPr>
        <sz val="12"/>
        <rFont val="Arial"/>
        <family val="2"/>
      </rPr>
      <t>+1)(n</t>
    </r>
    <r>
      <rPr>
        <vertAlign val="subscript"/>
        <sz val="12"/>
        <rFont val="Arial"/>
        <family val="2"/>
      </rPr>
      <t>2</t>
    </r>
    <r>
      <rPr>
        <sz val="12"/>
        <rFont val="Arial"/>
        <family val="2"/>
      </rPr>
      <t>+1)/(m</t>
    </r>
    <r>
      <rPr>
        <vertAlign val="subscript"/>
        <sz val="12"/>
        <rFont val="Arial"/>
        <family val="2"/>
      </rPr>
      <t>2</t>
    </r>
    <r>
      <rPr>
        <sz val="12"/>
        <rFont val="Arial"/>
        <family val="2"/>
      </rPr>
      <t>+1)] -1</t>
    </r>
  </si>
  <si>
    <t>95% CI for (Nc/λ) based on</t>
  </si>
  <si>
    <r>
      <t xml:space="preserve">Paste all tags, </t>
    </r>
    <r>
      <rPr>
        <b/>
        <sz val="10"/>
        <color rgb="FFFF0000"/>
        <rFont val="Arial"/>
        <family val="2"/>
      </rPr>
      <t>remove test tags</t>
    </r>
  </si>
  <si>
    <t>Lower CI</t>
  </si>
  <si>
    <t>Popuation Estimate</t>
  </si>
  <si>
    <t>Upper CI</t>
  </si>
  <si>
    <t>First Trip (n1)</t>
  </si>
  <si>
    <t>Second Trip (n2)</t>
  </si>
  <si>
    <t>Recaps (m2)</t>
  </si>
  <si>
    <t>Scan Minutes</t>
  </si>
  <si>
    <t>(Seber 1973 p.60)</t>
  </si>
  <si>
    <t>m2</t>
  </si>
  <si>
    <t>Lower Limit</t>
  </si>
  <si>
    <t>Upper Limit</t>
  </si>
  <si>
    <t>3DD.003BEA5703</t>
  </si>
  <si>
    <t>3DD.003BEA228F</t>
  </si>
  <si>
    <r>
      <t>Number marked first trip (n</t>
    </r>
    <r>
      <rPr>
        <vertAlign val="subscript"/>
        <sz val="10"/>
        <rFont val="Arial"/>
        <family val="2"/>
      </rPr>
      <t>1</t>
    </r>
    <r>
      <rPr>
        <sz val="10"/>
        <rFont val="Arial"/>
        <family val="2"/>
      </rPr>
      <t>)</t>
    </r>
  </si>
  <si>
    <t>3DD.003BEA52FA</t>
  </si>
  <si>
    <t>3DD.003BEA624E</t>
  </si>
  <si>
    <r>
      <t>Number captured second trip (n</t>
    </r>
    <r>
      <rPr>
        <vertAlign val="subscript"/>
        <sz val="10"/>
        <rFont val="Arial"/>
        <family val="2"/>
      </rPr>
      <t>2</t>
    </r>
    <r>
      <rPr>
        <sz val="10"/>
        <rFont val="Arial"/>
        <family val="2"/>
      </rPr>
      <t>)</t>
    </r>
  </si>
  <si>
    <t>3DD.003BEA5C18</t>
  </si>
  <si>
    <t>3DD.003BEA571D</t>
  </si>
  <si>
    <r>
      <t>Number of recaptures (m</t>
    </r>
    <r>
      <rPr>
        <vertAlign val="subscript"/>
        <sz val="10"/>
        <rFont val="Arial"/>
        <family val="2"/>
      </rPr>
      <t>2</t>
    </r>
    <r>
      <rPr>
        <sz val="10"/>
        <rFont val="Arial"/>
        <family val="2"/>
      </rPr>
      <t>)</t>
    </r>
  </si>
  <si>
    <t>3DD.003BEA6061</t>
  </si>
  <si>
    <t>3DD.003BEA56FE</t>
  </si>
  <si>
    <t>3DD.003BEA61F6</t>
  </si>
  <si>
    <t xml:space="preserve">Variance           λ = </t>
  </si>
  <si>
    <t>3DD.003BEA8936</t>
  </si>
  <si>
    <t>Upper Limit from Poisson Distribution Table</t>
  </si>
  <si>
    <t>3DD.003BEA52E3</t>
  </si>
  <si>
    <t>3DD.003BEA604E</t>
  </si>
  <si>
    <t>Lower Limit from Poisson Distribution Table</t>
  </si>
  <si>
    <t>3DD.003BEA22BD</t>
  </si>
  <si>
    <t>3DD.003BEA2299</t>
  </si>
  <si>
    <t>3DD.003BEA7443</t>
  </si>
  <si>
    <t>95% CI lower limit</t>
  </si>
  <si>
    <t>3DD.003BEA22A3</t>
  </si>
  <si>
    <t>3DD.003BEA7447</t>
  </si>
  <si>
    <r>
      <t>Estimated Population Size (N</t>
    </r>
    <r>
      <rPr>
        <vertAlign val="subscript"/>
        <sz val="10"/>
        <rFont val="Arial"/>
        <family val="2"/>
      </rPr>
      <t>c</t>
    </r>
    <r>
      <rPr>
        <sz val="10"/>
        <rFont val="Arial"/>
        <family val="2"/>
      </rPr>
      <t>)</t>
    </r>
  </si>
  <si>
    <t>3DD.003BEA5BF4</t>
  </si>
  <si>
    <t>3DD.003BEA571B</t>
  </si>
  <si>
    <t>95% CI upper limit</t>
  </si>
  <si>
    <t>3DD.003BEA5530</t>
  </si>
  <si>
    <t>3DD.003BEA22CD</t>
  </si>
  <si>
    <t>3DD.003BEA22EB</t>
  </si>
  <si>
    <t>Reference</t>
  </si>
  <si>
    <t>3DD.003BEA22B2</t>
  </si>
  <si>
    <t>3DD.003BEA621A</t>
  </si>
  <si>
    <t>Seber, G. A. F. 1973.  The estimation of animal abundance and related parameters, 2nd edition. Charles Griffin and Co., London.</t>
  </si>
  <si>
    <t>3DD.003BEA2295</t>
  </si>
  <si>
    <t>3DD.003BEA22E1</t>
  </si>
  <si>
    <t>3DD.003BEA6656</t>
  </si>
  <si>
    <t>3DD.003BEA52D2</t>
  </si>
  <si>
    <t>3DD.003BEA6205</t>
  </si>
  <si>
    <t>3DD.003BEA6652</t>
  </si>
  <si>
    <t>3DD.003BEA7485</t>
  </si>
  <si>
    <t>3DD.003BEA6255</t>
  </si>
  <si>
    <t>3DD.003BEA5C0A</t>
  </si>
  <si>
    <t>3DD.003BEA5298</t>
  </si>
  <si>
    <t>3DD.003BEA5513</t>
  </si>
  <si>
    <t>3DD.003BEA88FD</t>
  </si>
  <si>
    <t>3DD.003BEA2289</t>
  </si>
  <si>
    <t>3DD.003BEA22CE</t>
  </si>
  <si>
    <t>3DD.003BEA52C8</t>
  </si>
  <si>
    <t>3DD.003BEA5C17</t>
  </si>
  <si>
    <t>3DD.003BEA229E</t>
  </si>
  <si>
    <t>3DD.003BEA88B7</t>
  </si>
  <si>
    <t>3DD.003BEA530E</t>
  </si>
  <si>
    <t>3DD.003BEA22AC</t>
  </si>
  <si>
    <t>3DD.003BEA22E2</t>
  </si>
  <si>
    <t>3DD.003BEA61D9</t>
  </si>
  <si>
    <t>3DD.003BEA5C22</t>
  </si>
  <si>
    <t>3DD.003BEA553D</t>
  </si>
  <si>
    <t>3DD.003BEA56D5</t>
  </si>
  <si>
    <t>3DD.003BEA6248</t>
  </si>
  <si>
    <t>3DD.003BEA61F8</t>
  </si>
  <si>
    <t>3DD.003BEA5C38</t>
  </si>
  <si>
    <t>3DD.003BEA5C2D</t>
  </si>
  <si>
    <t>3DD.003BEA6217</t>
  </si>
  <si>
    <t>3DD.003BEA22C4</t>
  </si>
  <si>
    <t>3DD.003BEA8908</t>
  </si>
  <si>
    <t>3DD.003BEA6221</t>
  </si>
  <si>
    <t>3DD.003BEA553C</t>
  </si>
  <si>
    <t>3DD.003BEA22E4</t>
  </si>
  <si>
    <t>3DD.003BEA5C50</t>
  </si>
  <si>
    <t>3DD.003BEA5BF8</t>
  </si>
  <si>
    <t>3DD.003BEA54AC</t>
  </si>
  <si>
    <t>3DD.003BEA22E9</t>
  </si>
  <si>
    <t>3DD.003BEA88E3</t>
  </si>
  <si>
    <t>3DD.003BEA6213</t>
  </si>
  <si>
    <t>3DD.003BEA8928</t>
  </si>
  <si>
    <t>3DD.003BEA22D3</t>
  </si>
  <si>
    <t>3DD.003BEA54F6</t>
  </si>
  <si>
    <t>3DD.003BEA22CF</t>
  </si>
  <si>
    <t>3DD.003BEA747B</t>
  </si>
  <si>
    <t>3DD.003BEA6048</t>
  </si>
  <si>
    <t>3DD.003BEA22A4</t>
  </si>
  <si>
    <t>3DD.003BEA54B7</t>
  </si>
  <si>
    <t>3DD.003BEA22BE</t>
  </si>
  <si>
    <t>3DD.003BEA56EE</t>
  </si>
  <si>
    <t>3DD.003BEA748D</t>
  </si>
  <si>
    <t>3DD.003BEA608F</t>
  </si>
  <si>
    <t>3DD.003BEA628A</t>
  </si>
  <si>
    <t>3DD.003BEA7450</t>
  </si>
  <si>
    <t>3DD.003BEA22DE</t>
  </si>
  <si>
    <t>3DD.003BEA22B7</t>
  </si>
  <si>
    <t>3DD.003BEA22C9</t>
  </si>
  <si>
    <t>3DD.003BEA22DB</t>
  </si>
  <si>
    <t>3DD.003BEA22DD</t>
  </si>
  <si>
    <t>3DD.003BEA607D</t>
  </si>
  <si>
    <t>3DD.003BEA8913</t>
  </si>
  <si>
    <t>3DD.003BEA5C53</t>
  </si>
  <si>
    <t>3DD.003BEA7469</t>
  </si>
  <si>
    <t>3DD.003BEA553A</t>
  </si>
  <si>
    <t>3DD.003BEA52B8</t>
  </si>
  <si>
    <t>3DD.003BEA60A2</t>
  </si>
  <si>
    <t>3DD.003BEA5522</t>
  </si>
  <si>
    <t>3DD.003BEA54EB</t>
  </si>
  <si>
    <t>3DD.003BEA5352</t>
  </si>
  <si>
    <t>3DD.003BEA22DC</t>
  </si>
  <si>
    <t>3DD.003BEA6284</t>
  </si>
  <si>
    <t>3DD.003BEA52A4</t>
  </si>
  <si>
    <t>3DD.003BEA5C02</t>
  </si>
  <si>
    <t>3DD.003BEA5327</t>
  </si>
  <si>
    <t>3DD.003BEA6233</t>
  </si>
  <si>
    <t>3DD.003BEA22D6</t>
  </si>
  <si>
    <t>3DD.003BEA8929</t>
  </si>
  <si>
    <t>3DD.003BEA6057</t>
  </si>
  <si>
    <t>3DD.003BEA5C30</t>
  </si>
  <si>
    <t>3DD.003BEA5490</t>
  </si>
  <si>
    <t>3DD.003BEA622E</t>
  </si>
  <si>
    <t>3DD.003BEA5C12</t>
  </si>
  <si>
    <t>3DD.003BEA8901</t>
  </si>
  <si>
    <t>3DD.003BEA6073</t>
  </si>
  <si>
    <t>3DD.003BEA22E8</t>
  </si>
  <si>
    <t>3DD.003BEA52A2</t>
  </si>
  <si>
    <t>3DD.003BEA22B3</t>
  </si>
  <si>
    <t>05B.340180E347</t>
  </si>
  <si>
    <t>3DD.003BEA56B9</t>
  </si>
  <si>
    <t>3DD.003BEA8931</t>
  </si>
  <si>
    <t>3DD.003BEA22B0</t>
  </si>
  <si>
    <t>3DD.003BEA54B8</t>
  </si>
  <si>
    <t>3DD.003BEA6245</t>
  </si>
  <si>
    <t>3DD.003BEA61F7</t>
  </si>
  <si>
    <t>3DD.003BEA52C1</t>
  </si>
  <si>
    <t>3DD.003BEA61DE</t>
  </si>
  <si>
    <t>3DD.003BEA5525</t>
  </si>
  <si>
    <t>3DD.003BEA893D</t>
  </si>
  <si>
    <t>3DD.003BEA548C</t>
  </si>
  <si>
    <t>3DD.003BEA5520</t>
  </si>
  <si>
    <t>Avg TL</t>
  </si>
  <si>
    <t>Recaps</t>
  </si>
  <si>
    <t>Stocked</t>
  </si>
  <si>
    <t>Recruits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</si>
</sst>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sz val="11"/>
      <color theme="1"/>
      <name val="Calibri"/>
      <family val="2"/>
      <scheme val="minor"/>
    </font>
    <font>
      <sz val="11"/>
      <name val="Arial"/>
      <family val="2"/>
    </font>
    <font>
      <b/>
      <sz val="11"/>
      <color rgb="FFFF0000"/>
      <name val="Arial"/>
      <family val="2"/>
    </font>
    <font>
      <sz val="14"/>
      <name val="Arial"/>
      <family val="2"/>
    </font>
    <font>
      <b/>
      <sz val="12"/>
      <name val="Arial"/>
      <family val="2"/>
    </font>
    <font>
      <sz val="12"/>
      <name val="Arial"/>
      <family val="2"/>
    </font>
    <font>
      <vertAlign val="subscript"/>
      <sz val="12"/>
      <name val="Arial"/>
      <family val="2"/>
    </font>
    <font>
      <sz val="10"/>
      <name val="Arial"/>
      <family val="2"/>
    </font>
    <font>
      <b/>
      <sz val="10"/>
      <color rgb="FFFF0000"/>
      <name val="Arial"/>
      <family val="2"/>
    </font>
    <font>
      <sz val="11"/>
      <color theme="1"/>
      <name val="Arial"/>
      <family val="2"/>
    </font>
    <font>
      <vertAlign val="subscript"/>
      <sz val="10"/>
      <name val="Arial"/>
      <family val="2"/>
    </font>
    <font>
      <sz val="10"/>
      <name val="Calibri"/>
      <family val="2"/>
    </font>
    <font>
      <b/>
      <sz val="11"/>
      <color theme="1"/>
      <name val="Arial"/>
      <family val="2"/>
    </font>
  </fonts>
  <fills count="7">
    <fill>
      <patternFill patternType="none"/>
    </fill>
    <fill>
      <patternFill patternType="gray125"/>
    </fill>
    <fill>
      <patternFill patternType="solid">
        <fgColor rgb="FF0070C0"/>
        <bgColor indexed="64"/>
      </patternFill>
    </fill>
    <fill>
      <patternFill patternType="solid">
        <fgColor rgb="FF00B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s>
  <borders count="9">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0" fontId="2" fillId="0" borderId="0"/>
  </cellStyleXfs>
  <cellXfs count="69">
    <xf numFmtId="0" fontId="0" fillId="0" borderId="0" xfId="0"/>
    <xf numFmtId="14" fontId="0" fillId="0" borderId="0" xfId="0" applyNumberFormat="1"/>
    <xf numFmtId="0" fontId="0" fillId="0" borderId="0" xfId="0" applyAlignment="1">
      <alignment wrapText="1"/>
    </xf>
    <xf numFmtId="0" fontId="1" fillId="0" borderId="0" xfId="0" applyFont="1"/>
    <xf numFmtId="0" fontId="1" fillId="0" borderId="0" xfId="0" applyFont="1" applyAlignment="1">
      <alignment horizontal="center"/>
    </xf>
    <xf numFmtId="0" fontId="0" fillId="0" borderId="0" xfId="0" applyAlignment="1">
      <alignment horizontal="center"/>
    </xf>
    <xf numFmtId="14" fontId="0" fillId="0" borderId="0" xfId="0" applyNumberFormat="1" applyAlignment="1">
      <alignment horizontal="center"/>
    </xf>
    <xf numFmtId="14" fontId="1" fillId="0" borderId="0" xfId="0" applyNumberFormat="1" applyFont="1" applyAlignment="1">
      <alignment horizontal="center"/>
    </xf>
    <xf numFmtId="0" fontId="3" fillId="0" borderId="0" xfId="0" applyFont="1" applyAlignment="1">
      <alignment horizontal="left" wrapText="1"/>
    </xf>
    <xf numFmtId="0" fontId="6" fillId="0" borderId="0" xfId="0" applyFont="1" applyAlignment="1"/>
    <xf numFmtId="0" fontId="6" fillId="0" borderId="0" xfId="0" applyFont="1" applyAlignment="1">
      <alignment horizontal="center"/>
    </xf>
    <xf numFmtId="0" fontId="9" fillId="0" borderId="0" xfId="0" applyFont="1" applyAlignment="1"/>
    <xf numFmtId="0" fontId="9" fillId="0" borderId="0" xfId="0" applyFont="1" applyAlignment="1">
      <alignment horizontal="center"/>
    </xf>
    <xf numFmtId="0" fontId="9" fillId="0" borderId="0" xfId="0" applyFont="1" applyFill="1" applyBorder="1" applyAlignment="1">
      <alignment horizontal="center" wrapText="1"/>
    </xf>
    <xf numFmtId="0" fontId="0" fillId="0" borderId="1" xfId="0" applyBorder="1" applyAlignment="1">
      <alignment horizontal="center"/>
    </xf>
    <xf numFmtId="0" fontId="9" fillId="0" borderId="1" xfId="0" applyFont="1" applyBorder="1"/>
    <xf numFmtId="0" fontId="0" fillId="2" borderId="1" xfId="0" applyFill="1" applyBorder="1" applyAlignment="1">
      <alignment horizontal="center"/>
    </xf>
    <xf numFmtId="0" fontId="0" fillId="3" borderId="1" xfId="0" applyFill="1" applyBorder="1" applyAlignment="1">
      <alignment horizontal="center"/>
    </xf>
    <xf numFmtId="0" fontId="9" fillId="0" borderId="0" xfId="0" applyFont="1" applyBorder="1"/>
    <xf numFmtId="0" fontId="11" fillId="0" borderId="0" xfId="1" applyFont="1"/>
    <xf numFmtId="49" fontId="0" fillId="0" borderId="0" xfId="0" applyNumberFormat="1"/>
    <xf numFmtId="14" fontId="0" fillId="0" borderId="2" xfId="0" applyNumberFormat="1" applyBorder="1" applyProtection="1">
      <protection locked="0"/>
    </xf>
    <xf numFmtId="0" fontId="0" fillId="4" borderId="3" xfId="0" applyFill="1" applyBorder="1" applyProtection="1">
      <protection locked="0"/>
    </xf>
    <xf numFmtId="0" fontId="0" fillId="5" borderId="3" xfId="0" applyFill="1" applyBorder="1" applyProtection="1">
      <protection locked="0"/>
    </xf>
    <xf numFmtId="0" fontId="0" fillId="6" borderId="3" xfId="0" applyFill="1" applyBorder="1" applyProtection="1">
      <protection locked="0"/>
    </xf>
    <xf numFmtId="0" fontId="0" fillId="0" borderId="3" xfId="0" applyBorder="1" applyProtection="1">
      <protection locked="0"/>
    </xf>
    <xf numFmtId="0" fontId="0" fillId="0" borderId="4" xfId="0" applyBorder="1" applyAlignment="1" applyProtection="1">
      <alignment horizontal="left"/>
      <protection locked="0"/>
    </xf>
    <xf numFmtId="0" fontId="11" fillId="0" borderId="0" xfId="1" applyFont="1" applyAlignment="1"/>
    <xf numFmtId="0" fontId="9" fillId="0" borderId="0" xfId="0" applyFont="1" applyBorder="1" applyAlignment="1">
      <alignment horizontal="left"/>
    </xf>
    <xf numFmtId="14" fontId="0" fillId="0" borderId="5" xfId="0" applyNumberFormat="1" applyBorder="1" applyProtection="1">
      <protection locked="0"/>
    </xf>
    <xf numFmtId="0" fontId="0" fillId="4" borderId="0" xfId="0" applyFill="1" applyBorder="1" applyProtection="1">
      <protection locked="0"/>
    </xf>
    <xf numFmtId="0" fontId="0" fillId="5" borderId="0" xfId="0" applyFill="1" applyBorder="1" applyProtection="1">
      <protection locked="0"/>
    </xf>
    <xf numFmtId="0" fontId="0" fillId="6" borderId="0" xfId="0" applyFill="1" applyBorder="1" applyProtection="1">
      <protection locked="0"/>
    </xf>
    <xf numFmtId="0" fontId="0" fillId="0" borderId="0" xfId="0" applyBorder="1" applyProtection="1">
      <protection locked="0"/>
    </xf>
    <xf numFmtId="0" fontId="0" fillId="0" borderId="6" xfId="0" applyBorder="1" applyProtection="1">
      <protection locked="0"/>
    </xf>
    <xf numFmtId="0" fontId="9" fillId="0" borderId="0" xfId="0" applyFont="1" applyBorder="1" applyAlignment="1">
      <alignment horizontal="right"/>
    </xf>
    <xf numFmtId="1" fontId="9" fillId="5" borderId="0" xfId="0" applyNumberFormat="1" applyFont="1" applyFill="1" applyBorder="1" applyAlignment="1" applyProtection="1">
      <alignment horizontal="right"/>
      <protection locked="0"/>
    </xf>
    <xf numFmtId="0" fontId="13" fillId="0" borderId="0" xfId="0" applyFont="1" applyBorder="1" applyAlignment="1">
      <alignment horizontal="right"/>
    </xf>
    <xf numFmtId="1" fontId="9" fillId="0" borderId="0" xfId="0" applyNumberFormat="1" applyFont="1" applyBorder="1" applyAlignment="1">
      <alignment horizontal="right"/>
    </xf>
    <xf numFmtId="0" fontId="11" fillId="0" borderId="0" xfId="1" applyFont="1" applyFill="1"/>
    <xf numFmtId="1" fontId="9" fillId="4" borderId="0" xfId="0" applyNumberFormat="1" applyFont="1" applyFill="1" applyBorder="1" applyAlignment="1">
      <alignment horizontal="right"/>
    </xf>
    <xf numFmtId="1" fontId="9" fillId="5" borderId="0" xfId="0" applyNumberFormat="1" applyFont="1" applyFill="1" applyBorder="1" applyAlignment="1">
      <alignment horizontal="right"/>
    </xf>
    <xf numFmtId="1" fontId="9" fillId="6" borderId="0" xfId="0" applyNumberFormat="1" applyFont="1" applyFill="1" applyBorder="1" applyAlignment="1">
      <alignment horizontal="right"/>
    </xf>
    <xf numFmtId="0" fontId="14" fillId="0" borderId="0" xfId="1" applyFont="1"/>
    <xf numFmtId="14" fontId="0" fillId="0" borderId="7" xfId="0" applyNumberFormat="1" applyBorder="1" applyProtection="1">
      <protection locked="0"/>
    </xf>
    <xf numFmtId="0" fontId="0" fillId="4" borderId="1" xfId="0" applyFill="1" applyBorder="1" applyProtection="1">
      <protection locked="0"/>
    </xf>
    <xf numFmtId="0" fontId="0" fillId="5" borderId="1" xfId="0" applyFill="1" applyBorder="1" applyProtection="1">
      <protection locked="0"/>
    </xf>
    <xf numFmtId="0" fontId="0" fillId="6" borderId="1" xfId="0" applyFill="1" applyBorder="1" applyProtection="1">
      <protection locked="0"/>
    </xf>
    <xf numFmtId="0" fontId="0" fillId="0" borderId="1" xfId="0" applyBorder="1" applyProtection="1">
      <protection locked="0"/>
    </xf>
    <xf numFmtId="0" fontId="0" fillId="0" borderId="8" xfId="0" applyBorder="1" applyProtection="1">
      <protection locked="0"/>
    </xf>
    <xf numFmtId="0" fontId="0" fillId="0" borderId="0" xfId="0" applyBorder="1"/>
    <xf numFmtId="0" fontId="0" fillId="0" borderId="0" xfId="0" applyProtection="1">
      <protection locked="0"/>
    </xf>
    <xf numFmtId="0" fontId="0" fillId="0" borderId="6" xfId="0" applyBorder="1" applyAlignment="1" applyProtection="1">
      <alignment horizontal="left"/>
      <protection locked="0"/>
    </xf>
    <xf numFmtId="0" fontId="0" fillId="0" borderId="6" xfId="0" applyFill="1" applyBorder="1" applyProtection="1">
      <protection locked="0"/>
    </xf>
    <xf numFmtId="0" fontId="0" fillId="0" borderId="5" xfId="0" applyBorder="1" applyProtection="1">
      <protection locked="0"/>
    </xf>
    <xf numFmtId="0" fontId="9" fillId="0" borderId="0" xfId="0" applyFont="1" applyBorder="1" applyAlignment="1">
      <alignment horizontal="right"/>
    </xf>
    <xf numFmtId="0" fontId="9" fillId="0" borderId="0" xfId="0" applyFont="1" applyAlignment="1">
      <alignment horizontal="center" wrapText="1"/>
    </xf>
    <xf numFmtId="0" fontId="9" fillId="0" borderId="0" xfId="0" applyFont="1" applyBorder="1" applyAlignment="1">
      <alignment horizontal="center" wrapText="1"/>
    </xf>
    <xf numFmtId="0" fontId="9" fillId="0" borderId="0" xfId="0" applyFont="1" applyFill="1" applyBorder="1" applyAlignment="1">
      <alignment horizontal="center" wrapText="1"/>
    </xf>
    <xf numFmtId="0" fontId="0" fillId="0" borderId="0" xfId="0" applyBorder="1" applyAlignment="1">
      <alignment horizontal="center" wrapText="1"/>
    </xf>
    <xf numFmtId="0" fontId="3" fillId="0" borderId="0" xfId="0" applyFont="1" applyAlignment="1">
      <alignment horizontal="left" vertical="top" wrapText="1"/>
    </xf>
    <xf numFmtId="0" fontId="5" fillId="0" borderId="0" xfId="0" applyFont="1" applyBorder="1" applyAlignment="1">
      <alignment horizontal="center" wrapText="1"/>
    </xf>
    <xf numFmtId="0" fontId="6" fillId="0" borderId="0" xfId="0" applyFont="1" applyAlignment="1">
      <alignment horizontal="center"/>
    </xf>
    <xf numFmtId="0" fontId="7" fillId="0" borderId="0" xfId="0" applyFont="1" applyBorder="1" applyAlignment="1">
      <alignment horizontal="center"/>
    </xf>
    <xf numFmtId="0" fontId="9" fillId="0" borderId="0" xfId="0" applyFont="1" applyAlignment="1">
      <alignment horizontal="center"/>
    </xf>
    <xf numFmtId="0" fontId="11" fillId="0" borderId="1" xfId="1" applyFont="1" applyBorder="1" applyAlignment="1">
      <alignment horizontal="center"/>
    </xf>
    <xf numFmtId="0" fontId="1" fillId="0" borderId="0" xfId="0" applyNumberFormat="1" applyFont="1" applyAlignment="1">
      <alignment horizontal="center"/>
    </xf>
    <xf numFmtId="0" fontId="0" fillId="0" borderId="0" xfId="0" applyNumberFormat="1" applyAlignment="1">
      <alignment horizontal="center"/>
    </xf>
    <xf numFmtId="0" fontId="0" fillId="0" borderId="0" xfId="0" quotePrefix="1" applyNumberFormat="1" applyAlignment="1">
      <alignment horizontal="center"/>
    </xf>
  </cellXfs>
  <cellStyles count="2">
    <cellStyle name="Normal" xfId="0" builtinId="0"/>
    <cellStyle name="Normal 2" xfId="1" xr:uid="{A87B3929-EBB3-4418-8A77-575D8212680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FY18 RASU Population Estimate                Pond</a:t>
            </a:r>
            <a:r>
              <a:rPr lang="en-US" baseline="0"/>
              <a:t> 3</a:t>
            </a:r>
            <a:endParaRPr lang="en-US"/>
          </a:p>
        </c:rich>
      </c:tx>
      <c:layout>
        <c:manualLayout>
          <c:xMode val="edge"/>
          <c:yMode val="edge"/>
          <c:x val="0.21777131030116928"/>
          <c:y val="2.777806747666475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1"/>
          <c:order val="0"/>
          <c:tx>
            <c:strRef>
              <c:f>Scanning!$N$4</c:f>
              <c:strCache>
                <c:ptCount val="1"/>
                <c:pt idx="0">
                  <c:v>Popuation Estimate</c:v>
                </c:pt>
              </c:strCache>
            </c:strRef>
          </c:tx>
          <c:spPr>
            <a:ln w="31750"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s>
            <c:dLbl>
              <c:idx val="1"/>
              <c:delete val="1"/>
              <c:extLst>
                <c:ext xmlns:c15="http://schemas.microsoft.com/office/drawing/2012/chart" uri="{CE6537A1-D6FC-4f65-9D91-7224C49458BB}"/>
                <c:ext xmlns:c16="http://schemas.microsoft.com/office/drawing/2014/chart" uri="{C3380CC4-5D6E-409C-BE32-E72D297353CC}">
                  <c16:uniqueId val="{00000000-475C-4F5F-817B-A1B466FEAEA1}"/>
                </c:ext>
              </c:extLst>
            </c:dLbl>
            <c:dLbl>
              <c:idx val="3"/>
              <c:delete val="1"/>
              <c:extLst>
                <c:ext xmlns:c15="http://schemas.microsoft.com/office/drawing/2012/chart" uri="{CE6537A1-D6FC-4f65-9D91-7224C49458BB}"/>
                <c:ext xmlns:c16="http://schemas.microsoft.com/office/drawing/2014/chart" uri="{C3380CC4-5D6E-409C-BE32-E72D297353CC}">
                  <c16:uniqueId val="{00000001-475C-4F5F-817B-A1B466FEAEA1}"/>
                </c:ext>
              </c:extLst>
            </c:dLbl>
            <c:dLbl>
              <c:idx val="5"/>
              <c:delete val="1"/>
              <c:extLst>
                <c:ext xmlns:c15="http://schemas.microsoft.com/office/drawing/2012/chart" uri="{CE6537A1-D6FC-4f65-9D91-7224C49458BB}"/>
                <c:ext xmlns:c16="http://schemas.microsoft.com/office/drawing/2014/chart" uri="{C3380CC4-5D6E-409C-BE32-E72D297353CC}">
                  <c16:uniqueId val="{00000002-475C-4F5F-817B-A1B466FEAEA1}"/>
                </c:ext>
              </c:extLst>
            </c:dLbl>
            <c:dLbl>
              <c:idx val="7"/>
              <c:delete val="1"/>
              <c:extLst>
                <c:ext xmlns:c15="http://schemas.microsoft.com/office/drawing/2012/chart" uri="{CE6537A1-D6FC-4f65-9D91-7224C49458BB}"/>
                <c:ext xmlns:c16="http://schemas.microsoft.com/office/drawing/2014/chart" uri="{C3380CC4-5D6E-409C-BE32-E72D297353CC}">
                  <c16:uniqueId val="{00000003-475C-4F5F-817B-A1B466FEAEA1}"/>
                </c:ext>
              </c:extLst>
            </c:dLbl>
            <c:dLbl>
              <c:idx val="9"/>
              <c:delete val="1"/>
              <c:extLst>
                <c:ext xmlns:c15="http://schemas.microsoft.com/office/drawing/2012/chart" uri="{CE6537A1-D6FC-4f65-9D91-7224C49458BB}"/>
                <c:ext xmlns:c16="http://schemas.microsoft.com/office/drawing/2014/chart" uri="{C3380CC4-5D6E-409C-BE32-E72D297353CC}">
                  <c16:uniqueId val="{00000004-475C-4F5F-817B-A1B466FEAEA1}"/>
                </c:ext>
              </c:extLst>
            </c:dLbl>
            <c:dLbl>
              <c:idx val="11"/>
              <c:delete val="1"/>
              <c:extLst>
                <c:ext xmlns:c15="http://schemas.microsoft.com/office/drawing/2012/chart" uri="{CE6537A1-D6FC-4f65-9D91-7224C49458BB}"/>
                <c:ext xmlns:c16="http://schemas.microsoft.com/office/drawing/2014/chart" uri="{C3380CC4-5D6E-409C-BE32-E72D297353CC}">
                  <c16:uniqueId val="{00000005-475C-4F5F-817B-A1B466FEAEA1}"/>
                </c:ext>
              </c:extLst>
            </c:dLbl>
            <c:dLbl>
              <c:idx val="13"/>
              <c:delete val="1"/>
              <c:extLst>
                <c:ext xmlns:c15="http://schemas.microsoft.com/office/drawing/2012/chart" uri="{CE6537A1-D6FC-4f65-9D91-7224C49458BB}"/>
                <c:ext xmlns:c16="http://schemas.microsoft.com/office/drawing/2014/chart" uri="{C3380CC4-5D6E-409C-BE32-E72D297353CC}">
                  <c16:uniqueId val="{00000006-475C-4F5F-817B-A1B466FEAEA1}"/>
                </c:ext>
              </c:extLst>
            </c:dLbl>
            <c:dLbl>
              <c:idx val="15"/>
              <c:delete val="1"/>
              <c:extLst>
                <c:ext xmlns:c15="http://schemas.microsoft.com/office/drawing/2012/chart" uri="{CE6537A1-D6FC-4f65-9D91-7224C49458BB}"/>
                <c:ext xmlns:c16="http://schemas.microsoft.com/office/drawing/2014/chart" uri="{C3380CC4-5D6E-409C-BE32-E72D297353CC}">
                  <c16:uniqueId val="{00000007-475C-4F5F-817B-A1B466FEAEA1}"/>
                </c:ext>
              </c:extLst>
            </c:dLbl>
            <c:dLbl>
              <c:idx val="17"/>
              <c:delete val="1"/>
              <c:extLst>
                <c:ext xmlns:c15="http://schemas.microsoft.com/office/drawing/2012/chart" uri="{CE6537A1-D6FC-4f65-9D91-7224C49458BB}"/>
                <c:ext xmlns:c16="http://schemas.microsoft.com/office/drawing/2014/chart" uri="{C3380CC4-5D6E-409C-BE32-E72D297353CC}">
                  <c16:uniqueId val="{00000008-475C-4F5F-817B-A1B466FEAEA1}"/>
                </c:ext>
              </c:extLst>
            </c:dLbl>
            <c:dLbl>
              <c:idx val="19"/>
              <c:delete val="1"/>
              <c:extLst>
                <c:ext xmlns:c15="http://schemas.microsoft.com/office/drawing/2012/chart" uri="{CE6537A1-D6FC-4f65-9D91-7224C49458BB}"/>
                <c:ext xmlns:c16="http://schemas.microsoft.com/office/drawing/2014/chart" uri="{C3380CC4-5D6E-409C-BE32-E72D297353CC}">
                  <c16:uniqueId val="{0000000A-3B87-4476-B127-0E87561BB551}"/>
                </c:ext>
              </c:extLst>
            </c:dLbl>
            <c:dLbl>
              <c:idx val="22"/>
              <c:delete val="1"/>
              <c:extLst>
                <c:ext xmlns:c15="http://schemas.microsoft.com/office/drawing/2012/chart" uri="{CE6537A1-D6FC-4f65-9D91-7224C49458BB}"/>
                <c:ext xmlns:c16="http://schemas.microsoft.com/office/drawing/2014/chart" uri="{C3380CC4-5D6E-409C-BE32-E72D297353CC}">
                  <c16:uniqueId val="{0000000B-3B87-4476-B127-0E87561BB5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Scanning!$L$6:$L$29</c:f>
              <c:numCache>
                <c:formatCode>m/d/yyyy</c:formatCode>
                <c:ptCount val="24"/>
                <c:pt idx="0">
                  <c:v>43011</c:v>
                </c:pt>
                <c:pt idx="1">
                  <c:v>43025</c:v>
                </c:pt>
                <c:pt idx="2">
                  <c:v>43040</c:v>
                </c:pt>
                <c:pt idx="3">
                  <c:v>43053</c:v>
                </c:pt>
                <c:pt idx="4">
                  <c:v>43067</c:v>
                </c:pt>
                <c:pt idx="5">
                  <c:v>43081</c:v>
                </c:pt>
                <c:pt idx="6">
                  <c:v>43095</c:v>
                </c:pt>
                <c:pt idx="7">
                  <c:v>43108</c:v>
                </c:pt>
                <c:pt idx="8">
                  <c:v>43125</c:v>
                </c:pt>
                <c:pt idx="9">
                  <c:v>43137</c:v>
                </c:pt>
                <c:pt idx="10">
                  <c:v>43152</c:v>
                </c:pt>
                <c:pt idx="11">
                  <c:v>43165</c:v>
                </c:pt>
                <c:pt idx="12">
                  <c:v>43188</c:v>
                </c:pt>
                <c:pt idx="13">
                  <c:v>43209</c:v>
                </c:pt>
                <c:pt idx="14">
                  <c:v>43221</c:v>
                </c:pt>
                <c:pt idx="15">
                  <c:v>43236</c:v>
                </c:pt>
                <c:pt idx="16">
                  <c:v>43257</c:v>
                </c:pt>
                <c:pt idx="17">
                  <c:v>43272</c:v>
                </c:pt>
                <c:pt idx="18">
                  <c:v>43291</c:v>
                </c:pt>
                <c:pt idx="19">
                  <c:v>43306</c:v>
                </c:pt>
                <c:pt idx="20">
                  <c:v>43319</c:v>
                </c:pt>
                <c:pt idx="21">
                  <c:v>43335</c:v>
                </c:pt>
                <c:pt idx="22">
                  <c:v>43354</c:v>
                </c:pt>
                <c:pt idx="23">
                  <c:v>43368</c:v>
                </c:pt>
              </c:numCache>
            </c:numRef>
          </c:cat>
          <c:val>
            <c:numRef>
              <c:f>Scanning!$N$6:$N$29</c:f>
              <c:numCache>
                <c:formatCode>General</c:formatCode>
                <c:ptCount val="24"/>
                <c:pt idx="0">
                  <c:v>198</c:v>
                </c:pt>
                <c:pt idx="1">
                  <c:v>152</c:v>
                </c:pt>
                <c:pt idx="2">
                  <c:v>204</c:v>
                </c:pt>
                <c:pt idx="3">
                  <c:v>210</c:v>
                </c:pt>
                <c:pt idx="4" formatCode="0">
                  <c:v>207</c:v>
                </c:pt>
                <c:pt idx="5">
                  <c:v>229</c:v>
                </c:pt>
                <c:pt idx="6">
                  <c:v>229</c:v>
                </c:pt>
                <c:pt idx="7">
                  <c:v>227</c:v>
                </c:pt>
                <c:pt idx="8">
                  <c:v>226</c:v>
                </c:pt>
                <c:pt idx="9">
                  <c:v>226</c:v>
                </c:pt>
                <c:pt idx="10">
                  <c:v>226</c:v>
                </c:pt>
                <c:pt idx="11">
                  <c:v>224</c:v>
                </c:pt>
                <c:pt idx="12">
                  <c:v>227</c:v>
                </c:pt>
                <c:pt idx="13">
                  <c:v>224</c:v>
                </c:pt>
                <c:pt idx="14">
                  <c:v>215</c:v>
                </c:pt>
                <c:pt idx="15">
                  <c:v>221</c:v>
                </c:pt>
                <c:pt idx="16">
                  <c:v>228</c:v>
                </c:pt>
                <c:pt idx="17">
                  <c:v>223</c:v>
                </c:pt>
                <c:pt idx="18">
                  <c:v>224</c:v>
                </c:pt>
                <c:pt idx="19">
                  <c:v>226</c:v>
                </c:pt>
                <c:pt idx="20">
                  <c:v>224</c:v>
                </c:pt>
                <c:pt idx="21">
                  <c:v>204</c:v>
                </c:pt>
                <c:pt idx="22">
                  <c:v>184</c:v>
                </c:pt>
                <c:pt idx="23">
                  <c:v>198</c:v>
                </c:pt>
              </c:numCache>
            </c:numRef>
          </c:val>
          <c:smooth val="1"/>
          <c:extLst>
            <c:ext xmlns:c16="http://schemas.microsoft.com/office/drawing/2014/chart" uri="{C3380CC4-5D6E-409C-BE32-E72D297353CC}">
              <c16:uniqueId val="{00000009-3B87-4476-B127-0E87561BB551}"/>
            </c:ext>
          </c:extLst>
        </c:ser>
        <c:dLbls>
          <c:showLegendKey val="0"/>
          <c:showVal val="0"/>
          <c:showCatName val="0"/>
          <c:showSerName val="0"/>
          <c:showPercent val="0"/>
          <c:showBubbleSize val="0"/>
        </c:dLbls>
        <c:marker val="1"/>
        <c:smooth val="0"/>
        <c:axId val="309586760"/>
        <c:axId val="309586368"/>
      </c:lineChart>
      <c:dateAx>
        <c:axId val="309586760"/>
        <c:scaling>
          <c:orientation val="minMax"/>
        </c:scaling>
        <c:delete val="0"/>
        <c:axPos val="b"/>
        <c:numFmt formatCode="[$-409]mmm\-yy;@"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9586368"/>
        <c:crosses val="autoZero"/>
        <c:auto val="0"/>
        <c:lblOffset val="100"/>
        <c:baseTimeUnit val="days"/>
        <c:majorUnit val="2"/>
        <c:majorTimeUnit val="months"/>
        <c:minorUnit val="7"/>
        <c:minorTimeUnit val="days"/>
      </c:dateAx>
      <c:valAx>
        <c:axId val="309586368"/>
        <c:scaling>
          <c:orientation val="minMax"/>
          <c:max val="300"/>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RASU</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9586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20</xdr:col>
      <xdr:colOff>95250</xdr:colOff>
      <xdr:row>2</xdr:row>
      <xdr:rowOff>22860</xdr:rowOff>
    </xdr:from>
    <xdr:to>
      <xdr:col>28</xdr:col>
      <xdr:colOff>83820</xdr:colOff>
      <xdr:row>16</xdr:row>
      <xdr:rowOff>99060</xdr:rowOff>
    </xdr:to>
    <xdr:graphicFrame macro="">
      <xdr:nvGraphicFramePr>
        <xdr:cNvPr id="2" name="Chart 1">
          <a:extLst>
            <a:ext uri="{FF2B5EF4-FFF2-40B4-BE49-F238E27FC236}">
              <a16:creationId xmlns:a16="http://schemas.microsoft.com/office/drawing/2014/main" id="{7D838C46-BCCC-4D0F-9927-0BA6B9A368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05DDE-9CC1-47C5-9BE8-A052CE4903F8}">
  <dimension ref="A1:E4"/>
  <sheetViews>
    <sheetView workbookViewId="0">
      <selection activeCell="D26" sqref="D26"/>
    </sheetView>
  </sheetViews>
  <sheetFormatPr defaultRowHeight="15" x14ac:dyDescent="0.25"/>
  <cols>
    <col min="2" max="2" width="11.140625" customWidth="1"/>
    <col min="3" max="3" width="7.7109375" bestFit="1" customWidth="1"/>
    <col min="4" max="4" width="14.28515625" customWidth="1"/>
    <col min="5" max="5" width="9" bestFit="1" customWidth="1"/>
  </cols>
  <sheetData>
    <row r="1" spans="1:5" ht="45" x14ac:dyDescent="0.25">
      <c r="A1" t="s">
        <v>0</v>
      </c>
      <c r="B1" t="s">
        <v>2</v>
      </c>
      <c r="C1" s="2" t="s">
        <v>6</v>
      </c>
      <c r="D1" s="2" t="s">
        <v>4</v>
      </c>
      <c r="E1" s="2" t="s">
        <v>1</v>
      </c>
    </row>
    <row r="2" spans="1:5" x14ac:dyDescent="0.25">
      <c r="A2">
        <v>3</v>
      </c>
      <c r="B2" s="1">
        <v>43108</v>
      </c>
      <c r="C2" t="s">
        <v>3</v>
      </c>
      <c r="D2">
        <v>2</v>
      </c>
      <c r="E2">
        <v>0</v>
      </c>
    </row>
    <row r="3" spans="1:5" x14ac:dyDescent="0.25">
      <c r="A3">
        <v>3</v>
      </c>
      <c r="B3" s="1">
        <v>43124</v>
      </c>
      <c r="C3" t="s">
        <v>3</v>
      </c>
      <c r="D3">
        <v>2</v>
      </c>
      <c r="E3">
        <v>0</v>
      </c>
    </row>
    <row r="4" spans="1:5" x14ac:dyDescent="0.25">
      <c r="A4">
        <v>3</v>
      </c>
      <c r="B4" s="1">
        <v>43236</v>
      </c>
      <c r="C4" t="s">
        <v>5</v>
      </c>
      <c r="D4">
        <v>1</v>
      </c>
      <c r="E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20141-ECE3-4D6E-B0C2-9FD8E58B5D0C}">
  <dimension ref="A1:G4"/>
  <sheetViews>
    <sheetView workbookViewId="0">
      <selection activeCell="F3" sqref="F3"/>
    </sheetView>
  </sheetViews>
  <sheetFormatPr defaultRowHeight="15" x14ac:dyDescent="0.25"/>
  <cols>
    <col min="2" max="2" width="10.7109375" bestFit="1" customWidth="1"/>
    <col min="4" max="4" width="5.85546875" customWidth="1"/>
    <col min="5" max="5" width="10.5703125" bestFit="1" customWidth="1"/>
  </cols>
  <sheetData>
    <row r="1" spans="1:7" ht="39" customHeight="1" x14ac:dyDescent="0.25">
      <c r="A1" t="s">
        <v>0</v>
      </c>
      <c r="B1" t="s">
        <v>2</v>
      </c>
      <c r="C1" s="2" t="s">
        <v>6</v>
      </c>
      <c r="D1" s="2" t="s">
        <v>8</v>
      </c>
      <c r="E1" s="2" t="s">
        <v>9</v>
      </c>
      <c r="F1" s="2" t="s">
        <v>10</v>
      </c>
    </row>
    <row r="2" spans="1:7" x14ac:dyDescent="0.25">
      <c r="A2">
        <v>3</v>
      </c>
      <c r="B2" s="1">
        <v>43041</v>
      </c>
      <c r="C2" t="s">
        <v>7</v>
      </c>
      <c r="D2">
        <v>1</v>
      </c>
      <c r="E2">
        <v>4</v>
      </c>
      <c r="F2">
        <v>31</v>
      </c>
      <c r="G2" t="s">
        <v>30</v>
      </c>
    </row>
    <row r="3" spans="1:7" x14ac:dyDescent="0.25">
      <c r="A3">
        <v>3</v>
      </c>
      <c r="B3" s="1">
        <v>43041</v>
      </c>
      <c r="C3" t="s">
        <v>7</v>
      </c>
      <c r="D3">
        <v>0.5</v>
      </c>
      <c r="E3">
        <v>3</v>
      </c>
      <c r="F3">
        <v>0</v>
      </c>
    </row>
    <row r="4" spans="1:7" x14ac:dyDescent="0.25">
      <c r="A4">
        <v>3</v>
      </c>
      <c r="B4" s="1">
        <v>43185</v>
      </c>
      <c r="C4" t="s">
        <v>7</v>
      </c>
      <c r="D4">
        <v>1</v>
      </c>
      <c r="E4">
        <v>4</v>
      </c>
      <c r="F4">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7B606-217C-4936-A67A-30C1BEC97460}">
  <dimension ref="A1:E6"/>
  <sheetViews>
    <sheetView workbookViewId="0">
      <selection activeCell="D8" sqref="D8"/>
    </sheetView>
  </sheetViews>
  <sheetFormatPr defaultRowHeight="15" x14ac:dyDescent="0.25"/>
  <cols>
    <col min="2" max="2" width="10.7109375" bestFit="1" customWidth="1"/>
    <col min="4" max="4" width="8.28515625" bestFit="1" customWidth="1"/>
  </cols>
  <sheetData>
    <row r="1" spans="1:5" ht="39" customHeight="1" x14ac:dyDescent="0.25">
      <c r="A1" t="s">
        <v>0</v>
      </c>
      <c r="B1" t="s">
        <v>2</v>
      </c>
      <c r="C1" s="2" t="s">
        <v>6</v>
      </c>
      <c r="D1" s="2" t="s">
        <v>26</v>
      </c>
      <c r="E1" s="2" t="s">
        <v>10</v>
      </c>
    </row>
    <row r="2" spans="1:5" x14ac:dyDescent="0.25">
      <c r="A2">
        <v>3</v>
      </c>
      <c r="B2" s="1">
        <v>43041</v>
      </c>
      <c r="C2" t="s">
        <v>25</v>
      </c>
      <c r="D2">
        <v>3037</v>
      </c>
      <c r="E2">
        <v>0</v>
      </c>
    </row>
    <row r="3" spans="1:5" x14ac:dyDescent="0.25">
      <c r="B3" s="1"/>
    </row>
    <row r="4" spans="1:5" x14ac:dyDescent="0.25">
      <c r="B4" s="1"/>
    </row>
    <row r="5" spans="1:5" x14ac:dyDescent="0.25">
      <c r="B5" s="1"/>
    </row>
    <row r="6" spans="1:5" x14ac:dyDescent="0.25">
      <c r="B6"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D495D-BC37-48B3-A2E1-3B4DDF44F621}">
  <dimension ref="A1:E7"/>
  <sheetViews>
    <sheetView workbookViewId="0">
      <selection activeCell="E2" sqref="E2"/>
    </sheetView>
  </sheetViews>
  <sheetFormatPr defaultRowHeight="15" x14ac:dyDescent="0.25"/>
  <cols>
    <col min="2" max="2" width="10.7109375" bestFit="1" customWidth="1"/>
    <col min="4" max="4" width="10.5703125" bestFit="1" customWidth="1"/>
  </cols>
  <sheetData>
    <row r="1" spans="1:5" ht="39" customHeight="1" x14ac:dyDescent="0.25">
      <c r="A1" t="s">
        <v>0</v>
      </c>
      <c r="B1" t="s">
        <v>2</v>
      </c>
      <c r="C1" s="2" t="s">
        <v>6</v>
      </c>
      <c r="D1" s="2" t="s">
        <v>9</v>
      </c>
      <c r="E1" s="2" t="s">
        <v>10</v>
      </c>
    </row>
    <row r="2" spans="1:5" x14ac:dyDescent="0.25">
      <c r="A2">
        <v>3</v>
      </c>
      <c r="B2" s="1">
        <v>43041</v>
      </c>
      <c r="C2" t="s">
        <v>29</v>
      </c>
      <c r="D2">
        <v>11</v>
      </c>
      <c r="E2">
        <v>0</v>
      </c>
    </row>
    <row r="3" spans="1:5" x14ac:dyDescent="0.25">
      <c r="A3">
        <v>3</v>
      </c>
      <c r="B3" s="1">
        <v>43185</v>
      </c>
      <c r="C3" t="s">
        <v>29</v>
      </c>
      <c r="D3">
        <v>7</v>
      </c>
      <c r="E3">
        <v>1</v>
      </c>
    </row>
    <row r="4" spans="1:5" x14ac:dyDescent="0.25">
      <c r="B4" s="1"/>
    </row>
    <row r="5" spans="1:5" x14ac:dyDescent="0.25">
      <c r="B5" s="1"/>
    </row>
    <row r="6" spans="1:5" x14ac:dyDescent="0.25">
      <c r="B6" s="1"/>
    </row>
    <row r="7" spans="1:5" x14ac:dyDescent="0.25">
      <c r="B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9CA5B-0783-43A6-A040-E77388D3E90F}">
  <dimension ref="A1:E6"/>
  <sheetViews>
    <sheetView workbookViewId="0">
      <selection activeCell="F3" sqref="F3"/>
    </sheetView>
  </sheetViews>
  <sheetFormatPr defaultRowHeight="15" x14ac:dyDescent="0.25"/>
  <cols>
    <col min="2" max="2" width="10.7109375" bestFit="1" customWidth="1"/>
    <col min="3" max="3" width="12.5703125" bestFit="1" customWidth="1"/>
    <col min="4" max="4" width="10.5703125" bestFit="1" customWidth="1"/>
  </cols>
  <sheetData>
    <row r="1" spans="1:5" ht="39" customHeight="1" x14ac:dyDescent="0.25">
      <c r="A1" t="s">
        <v>0</v>
      </c>
      <c r="B1" t="s">
        <v>2</v>
      </c>
      <c r="C1" s="2" t="s">
        <v>6</v>
      </c>
      <c r="D1" s="2" t="s">
        <v>28</v>
      </c>
      <c r="E1" s="2" t="s">
        <v>10</v>
      </c>
    </row>
    <row r="2" spans="1:5" x14ac:dyDescent="0.25">
      <c r="A2">
        <v>3</v>
      </c>
      <c r="B2" s="1">
        <v>43236</v>
      </c>
      <c r="C2" t="s">
        <v>27</v>
      </c>
      <c r="D2">
        <v>2</v>
      </c>
      <c r="E2">
        <v>0</v>
      </c>
    </row>
    <row r="3" spans="1:5" x14ac:dyDescent="0.25">
      <c r="A3">
        <v>3</v>
      </c>
      <c r="B3" s="1">
        <v>43291</v>
      </c>
      <c r="C3" t="s">
        <v>27</v>
      </c>
      <c r="D3">
        <v>4</v>
      </c>
      <c r="E3">
        <v>0</v>
      </c>
    </row>
    <row r="4" spans="1:5" x14ac:dyDescent="0.25">
      <c r="B4" s="1"/>
    </row>
    <row r="5" spans="1:5" x14ac:dyDescent="0.25">
      <c r="B5" s="1"/>
    </row>
    <row r="6" spans="1:5" x14ac:dyDescent="0.25">
      <c r="B6"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CEDE8-1521-4996-A1FD-E5A68820D45C}">
  <dimension ref="A1:P69"/>
  <sheetViews>
    <sheetView tabSelected="1" workbookViewId="0">
      <selection activeCell="D2" sqref="D2:D34"/>
    </sheetView>
  </sheetViews>
  <sheetFormatPr defaultRowHeight="15" x14ac:dyDescent="0.25"/>
  <cols>
    <col min="1" max="1" width="5.5703125" style="5" bestFit="1" customWidth="1"/>
    <col min="2" max="2" width="10.7109375" style="6" bestFit="1" customWidth="1"/>
    <col min="3" max="3" width="9.140625" style="5"/>
    <col min="4" max="4" width="7" style="5" bestFit="1" customWidth="1"/>
    <col min="5" max="5" width="9" style="5" bestFit="1" customWidth="1"/>
    <col min="6" max="6" width="15.140625" customWidth="1"/>
    <col min="7" max="7" width="6.28515625" style="5" bestFit="1" customWidth="1"/>
    <col min="8" max="8" width="4.140625" style="5" bestFit="1" customWidth="1"/>
    <col min="9" max="9" width="26" customWidth="1"/>
    <col min="10" max="10" width="27.85546875" bestFit="1" customWidth="1"/>
    <col min="11" max="11" width="12.7109375" bestFit="1" customWidth="1"/>
  </cols>
  <sheetData>
    <row r="1" spans="1:16" s="3" customFormat="1" x14ac:dyDescent="0.25">
      <c r="A1" s="4" t="s">
        <v>0</v>
      </c>
      <c r="B1" s="7" t="s">
        <v>2</v>
      </c>
      <c r="C1" s="4" t="s">
        <v>11</v>
      </c>
      <c r="D1" s="4" t="s">
        <v>12</v>
      </c>
      <c r="E1" s="4" t="s">
        <v>13</v>
      </c>
      <c r="F1" s="3" t="s">
        <v>14</v>
      </c>
      <c r="G1" s="4" t="s">
        <v>15</v>
      </c>
      <c r="H1" s="4" t="s">
        <v>16</v>
      </c>
      <c r="I1" s="3" t="s">
        <v>17</v>
      </c>
      <c r="J1" s="3" t="s">
        <v>24</v>
      </c>
      <c r="K1" s="3" t="s">
        <v>23</v>
      </c>
      <c r="P1" s="66" t="s">
        <v>218</v>
      </c>
    </row>
    <row r="2" spans="1:16" x14ac:dyDescent="0.25">
      <c r="A2" s="5">
        <v>3</v>
      </c>
      <c r="B2" s="6">
        <v>43041</v>
      </c>
      <c r="C2" s="5" t="s">
        <v>18</v>
      </c>
      <c r="D2" s="5">
        <v>530</v>
      </c>
      <c r="E2" s="5">
        <v>1455</v>
      </c>
      <c r="F2" t="s">
        <v>31</v>
      </c>
      <c r="G2" s="5" t="s">
        <v>19</v>
      </c>
      <c r="H2" s="5" t="s">
        <v>20</v>
      </c>
      <c r="K2" t="s">
        <v>22</v>
      </c>
      <c r="O2" t="s">
        <v>219</v>
      </c>
      <c r="P2" s="67">
        <v>507</v>
      </c>
    </row>
    <row r="3" spans="1:16" x14ac:dyDescent="0.25">
      <c r="A3" s="5">
        <v>3</v>
      </c>
      <c r="B3" s="6">
        <v>43041</v>
      </c>
      <c r="C3" s="5" t="s">
        <v>18</v>
      </c>
      <c r="D3" s="5">
        <v>520</v>
      </c>
      <c r="E3" s="5">
        <v>1320</v>
      </c>
      <c r="F3" t="s">
        <v>32</v>
      </c>
      <c r="G3" s="5" t="s">
        <v>19</v>
      </c>
      <c r="H3" s="5" t="s">
        <v>20</v>
      </c>
      <c r="K3" t="s">
        <v>22</v>
      </c>
      <c r="O3" t="s">
        <v>220</v>
      </c>
      <c r="P3" s="67">
        <v>425</v>
      </c>
    </row>
    <row r="4" spans="1:16" x14ac:dyDescent="0.25">
      <c r="A4" s="5">
        <v>3</v>
      </c>
      <c r="B4" s="6">
        <v>43041</v>
      </c>
      <c r="C4" s="5" t="s">
        <v>18</v>
      </c>
      <c r="D4" s="5">
        <v>532</v>
      </c>
      <c r="E4" s="5">
        <v>1395</v>
      </c>
      <c r="F4" t="s">
        <v>33</v>
      </c>
      <c r="G4" s="5" t="s">
        <v>19</v>
      </c>
      <c r="H4" s="5" t="s">
        <v>20</v>
      </c>
      <c r="K4" t="s">
        <v>22</v>
      </c>
      <c r="O4" t="s">
        <v>221</v>
      </c>
      <c r="P4" s="68">
        <v>0</v>
      </c>
    </row>
    <row r="5" spans="1:16" x14ac:dyDescent="0.25">
      <c r="A5" s="5">
        <v>3</v>
      </c>
      <c r="B5" s="6">
        <v>43041</v>
      </c>
      <c r="C5" s="5" t="s">
        <v>18</v>
      </c>
      <c r="D5" s="5">
        <v>520</v>
      </c>
      <c r="E5" s="5">
        <v>1270</v>
      </c>
      <c r="F5" t="s">
        <v>34</v>
      </c>
      <c r="G5" s="5" t="s">
        <v>19</v>
      </c>
      <c r="H5" s="5" t="s">
        <v>20</v>
      </c>
      <c r="K5" t="s">
        <v>22</v>
      </c>
    </row>
    <row r="6" spans="1:16" x14ac:dyDescent="0.25">
      <c r="A6" s="5">
        <v>3</v>
      </c>
      <c r="B6" s="6">
        <v>43041</v>
      </c>
      <c r="C6" s="5" t="s">
        <v>18</v>
      </c>
      <c r="D6" s="5">
        <v>490</v>
      </c>
      <c r="E6" s="5">
        <v>1085</v>
      </c>
      <c r="F6" t="s">
        <v>35</v>
      </c>
      <c r="G6" s="5" t="s">
        <v>19</v>
      </c>
      <c r="H6" s="5" t="s">
        <v>21</v>
      </c>
      <c r="K6" t="s">
        <v>22</v>
      </c>
    </row>
    <row r="7" spans="1:16" x14ac:dyDescent="0.25">
      <c r="A7" s="5">
        <v>3</v>
      </c>
      <c r="B7" s="6">
        <v>43185</v>
      </c>
      <c r="C7" s="5" t="s">
        <v>18</v>
      </c>
      <c r="D7" s="5">
        <v>540</v>
      </c>
      <c r="E7" s="5">
        <v>1832</v>
      </c>
      <c r="F7" t="s">
        <v>36</v>
      </c>
      <c r="G7" s="5" t="s">
        <v>19</v>
      </c>
      <c r="H7" s="5" t="s">
        <v>20</v>
      </c>
      <c r="I7" s="5" t="s">
        <v>38</v>
      </c>
    </row>
    <row r="8" spans="1:16" x14ac:dyDescent="0.25">
      <c r="A8" s="5">
        <v>3</v>
      </c>
      <c r="B8" s="6">
        <v>43185</v>
      </c>
      <c r="C8" s="5" t="s">
        <v>18</v>
      </c>
      <c r="D8" s="5">
        <v>520</v>
      </c>
      <c r="E8" s="5">
        <v>1546</v>
      </c>
      <c r="F8" t="s">
        <v>37</v>
      </c>
      <c r="G8" s="5" t="s">
        <v>19</v>
      </c>
      <c r="H8" s="5" t="s">
        <v>20</v>
      </c>
      <c r="I8" s="5" t="s">
        <v>39</v>
      </c>
    </row>
    <row r="9" spans="1:16" x14ac:dyDescent="0.25">
      <c r="A9" s="5">
        <v>3</v>
      </c>
      <c r="B9" s="6">
        <v>43041</v>
      </c>
      <c r="C9" s="5" t="s">
        <v>18</v>
      </c>
      <c r="D9" s="5">
        <v>523</v>
      </c>
      <c r="E9" s="5">
        <v>1345</v>
      </c>
      <c r="K9" t="s">
        <v>22</v>
      </c>
    </row>
    <row r="10" spans="1:16" x14ac:dyDescent="0.25">
      <c r="A10" s="5">
        <v>3</v>
      </c>
      <c r="B10" s="6">
        <v>43041</v>
      </c>
      <c r="C10" s="5" t="s">
        <v>18</v>
      </c>
      <c r="D10" s="5">
        <v>480</v>
      </c>
      <c r="E10" s="5">
        <v>1135</v>
      </c>
      <c r="F10" t="s">
        <v>40</v>
      </c>
      <c r="G10" s="5" t="s">
        <v>19</v>
      </c>
      <c r="H10" s="5" t="s">
        <v>20</v>
      </c>
      <c r="K10" t="s">
        <v>22</v>
      </c>
    </row>
    <row r="11" spans="1:16" x14ac:dyDescent="0.25">
      <c r="A11" s="5">
        <v>3</v>
      </c>
      <c r="B11" s="6">
        <v>43041</v>
      </c>
      <c r="C11" s="5" t="s">
        <v>18</v>
      </c>
      <c r="D11" s="5">
        <v>480</v>
      </c>
      <c r="E11" s="5">
        <v>1285</v>
      </c>
      <c r="F11" t="s">
        <v>41</v>
      </c>
      <c r="G11" s="5" t="s">
        <v>19</v>
      </c>
      <c r="H11" s="5" t="s">
        <v>21</v>
      </c>
      <c r="K11" t="s">
        <v>22</v>
      </c>
    </row>
    <row r="12" spans="1:16" x14ac:dyDescent="0.25">
      <c r="A12" s="5">
        <v>3</v>
      </c>
      <c r="B12" s="6">
        <v>43041</v>
      </c>
      <c r="C12" s="5" t="s">
        <v>18</v>
      </c>
      <c r="D12" s="5">
        <v>486</v>
      </c>
      <c r="E12" s="5">
        <v>1275</v>
      </c>
      <c r="F12" t="s">
        <v>42</v>
      </c>
      <c r="G12" s="5" t="s">
        <v>19</v>
      </c>
      <c r="H12" s="5" t="s">
        <v>20</v>
      </c>
      <c r="K12" t="s">
        <v>22</v>
      </c>
    </row>
    <row r="13" spans="1:16" x14ac:dyDescent="0.25">
      <c r="A13" s="5">
        <v>3</v>
      </c>
      <c r="B13" s="6">
        <v>43041</v>
      </c>
      <c r="C13" s="5" t="s">
        <v>18</v>
      </c>
      <c r="D13" s="5">
        <v>510</v>
      </c>
      <c r="E13" s="5">
        <v>1230</v>
      </c>
      <c r="F13" t="s">
        <v>43</v>
      </c>
      <c r="G13" s="5" t="s">
        <v>19</v>
      </c>
      <c r="H13" s="5" t="s">
        <v>20</v>
      </c>
      <c r="K13" t="s">
        <v>22</v>
      </c>
    </row>
    <row r="14" spans="1:16" x14ac:dyDescent="0.25">
      <c r="A14" s="5">
        <v>3</v>
      </c>
      <c r="B14" s="6">
        <v>43041</v>
      </c>
      <c r="C14" s="5" t="s">
        <v>18</v>
      </c>
      <c r="D14" s="5">
        <v>496</v>
      </c>
      <c r="E14" s="5">
        <v>1030</v>
      </c>
      <c r="F14" t="s">
        <v>44</v>
      </c>
      <c r="G14" s="5" t="s">
        <v>19</v>
      </c>
      <c r="H14" s="5" t="s">
        <v>20</v>
      </c>
      <c r="K14" t="s">
        <v>22</v>
      </c>
    </row>
    <row r="15" spans="1:16" x14ac:dyDescent="0.25">
      <c r="A15" s="5">
        <v>3</v>
      </c>
      <c r="B15" s="6">
        <v>43041</v>
      </c>
      <c r="C15" s="5" t="s">
        <v>18</v>
      </c>
      <c r="D15" s="5">
        <v>500</v>
      </c>
      <c r="E15" s="5">
        <v>1475</v>
      </c>
      <c r="F15" t="s">
        <v>45</v>
      </c>
      <c r="G15" s="5" t="s">
        <v>19</v>
      </c>
      <c r="H15" s="5" t="s">
        <v>21</v>
      </c>
      <c r="K15" t="s">
        <v>22</v>
      </c>
    </row>
    <row r="16" spans="1:16" x14ac:dyDescent="0.25">
      <c r="A16" s="5">
        <v>3</v>
      </c>
      <c r="B16" s="6">
        <v>43041</v>
      </c>
      <c r="C16" s="5" t="s">
        <v>18</v>
      </c>
      <c r="D16" s="5">
        <v>513</v>
      </c>
      <c r="E16" s="5">
        <v>1360</v>
      </c>
      <c r="F16" t="s">
        <v>46</v>
      </c>
      <c r="G16" s="5" t="s">
        <v>19</v>
      </c>
      <c r="H16" s="5" t="s">
        <v>20</v>
      </c>
      <c r="K16" t="s">
        <v>22</v>
      </c>
    </row>
    <row r="17" spans="1:11" x14ac:dyDescent="0.25">
      <c r="A17" s="5">
        <v>3</v>
      </c>
      <c r="B17" s="6">
        <v>43041</v>
      </c>
      <c r="C17" s="5" t="s">
        <v>18</v>
      </c>
      <c r="D17" s="5">
        <v>500</v>
      </c>
      <c r="E17" s="5">
        <v>1210</v>
      </c>
      <c r="F17" t="s">
        <v>47</v>
      </c>
      <c r="G17" s="5" t="s">
        <v>19</v>
      </c>
      <c r="H17" s="5" t="s">
        <v>20</v>
      </c>
      <c r="K17" t="s">
        <v>22</v>
      </c>
    </row>
    <row r="18" spans="1:11" x14ac:dyDescent="0.25">
      <c r="A18" s="5">
        <v>3</v>
      </c>
      <c r="B18" s="6">
        <v>43041</v>
      </c>
      <c r="C18" s="5" t="s">
        <v>18</v>
      </c>
      <c r="D18" s="5">
        <v>458</v>
      </c>
      <c r="E18" s="5">
        <v>1040</v>
      </c>
      <c r="F18" t="s">
        <v>48</v>
      </c>
      <c r="G18" s="5" t="s">
        <v>19</v>
      </c>
      <c r="H18" s="5" t="s">
        <v>20</v>
      </c>
      <c r="K18" t="s">
        <v>22</v>
      </c>
    </row>
    <row r="19" spans="1:11" x14ac:dyDescent="0.25">
      <c r="A19" s="5">
        <v>3</v>
      </c>
      <c r="B19" s="6">
        <v>43041</v>
      </c>
      <c r="C19" s="5" t="s">
        <v>18</v>
      </c>
      <c r="D19" s="5">
        <v>521</v>
      </c>
      <c r="E19" s="5">
        <v>1265</v>
      </c>
      <c r="F19" t="s">
        <v>49</v>
      </c>
      <c r="G19" s="5" t="s">
        <v>19</v>
      </c>
      <c r="H19" s="5" t="s">
        <v>20</v>
      </c>
      <c r="K19" t="s">
        <v>22</v>
      </c>
    </row>
    <row r="20" spans="1:11" x14ac:dyDescent="0.25">
      <c r="A20" s="5">
        <v>3</v>
      </c>
      <c r="B20" s="6">
        <v>43041</v>
      </c>
      <c r="C20" s="5" t="s">
        <v>18</v>
      </c>
      <c r="D20" s="5">
        <v>518</v>
      </c>
      <c r="E20" s="5">
        <v>1395</v>
      </c>
      <c r="F20" t="s">
        <v>50</v>
      </c>
      <c r="G20" s="5" t="s">
        <v>19</v>
      </c>
      <c r="H20" s="5" t="s">
        <v>20</v>
      </c>
      <c r="K20" t="s">
        <v>22</v>
      </c>
    </row>
    <row r="21" spans="1:11" x14ac:dyDescent="0.25">
      <c r="A21" s="5">
        <v>3</v>
      </c>
      <c r="B21" s="6">
        <v>43041</v>
      </c>
      <c r="C21" s="5" t="s">
        <v>18</v>
      </c>
      <c r="D21" s="5">
        <v>464</v>
      </c>
      <c r="E21" s="5">
        <v>950</v>
      </c>
      <c r="F21" t="s">
        <v>49</v>
      </c>
      <c r="G21" s="5" t="s">
        <v>19</v>
      </c>
      <c r="H21" s="5" t="s">
        <v>20</v>
      </c>
      <c r="K21" t="s">
        <v>22</v>
      </c>
    </row>
    <row r="22" spans="1:11" x14ac:dyDescent="0.25">
      <c r="A22" s="5">
        <v>3</v>
      </c>
      <c r="B22" s="6">
        <v>43041</v>
      </c>
      <c r="C22" s="5" t="s">
        <v>18</v>
      </c>
      <c r="D22" s="5">
        <v>486</v>
      </c>
      <c r="E22" s="5">
        <v>1240</v>
      </c>
      <c r="F22" t="s">
        <v>51</v>
      </c>
      <c r="G22" s="5" t="s">
        <v>19</v>
      </c>
      <c r="H22" s="5" t="s">
        <v>21</v>
      </c>
      <c r="K22" t="s">
        <v>22</v>
      </c>
    </row>
    <row r="23" spans="1:11" x14ac:dyDescent="0.25">
      <c r="A23" s="5">
        <v>3</v>
      </c>
      <c r="B23" s="6">
        <v>43041</v>
      </c>
      <c r="C23" s="5" t="s">
        <v>18</v>
      </c>
      <c r="D23" s="5">
        <v>535</v>
      </c>
      <c r="E23" s="5">
        <v>1505</v>
      </c>
      <c r="F23" t="s">
        <v>52</v>
      </c>
      <c r="G23" s="5" t="s">
        <v>19</v>
      </c>
      <c r="H23" s="5" t="s">
        <v>20</v>
      </c>
      <c r="K23" t="s">
        <v>22</v>
      </c>
    </row>
    <row r="24" spans="1:11" x14ac:dyDescent="0.25">
      <c r="A24" s="5">
        <v>3</v>
      </c>
      <c r="B24" s="6">
        <v>43041</v>
      </c>
      <c r="C24" s="5" t="s">
        <v>18</v>
      </c>
      <c r="D24" s="5">
        <v>502</v>
      </c>
      <c r="E24" s="5">
        <v>1070</v>
      </c>
      <c r="F24" t="s">
        <v>53</v>
      </c>
      <c r="G24" s="5" t="s">
        <v>19</v>
      </c>
      <c r="H24" s="5" t="s">
        <v>20</v>
      </c>
      <c r="K24" t="s">
        <v>22</v>
      </c>
    </row>
    <row r="25" spans="1:11" x14ac:dyDescent="0.25">
      <c r="A25" s="5">
        <v>3</v>
      </c>
      <c r="B25" s="6">
        <v>43041</v>
      </c>
      <c r="C25" s="5" t="s">
        <v>18</v>
      </c>
      <c r="D25" s="5">
        <v>520</v>
      </c>
      <c r="E25" s="5">
        <v>1330</v>
      </c>
      <c r="F25" t="s">
        <v>54</v>
      </c>
      <c r="G25" s="5" t="s">
        <v>19</v>
      </c>
      <c r="H25" s="5" t="s">
        <v>20</v>
      </c>
      <c r="K25" t="s">
        <v>22</v>
      </c>
    </row>
    <row r="26" spans="1:11" x14ac:dyDescent="0.25">
      <c r="A26" s="5">
        <v>3</v>
      </c>
      <c r="B26" s="6">
        <v>43041</v>
      </c>
      <c r="C26" s="5" t="s">
        <v>18</v>
      </c>
      <c r="D26" s="5">
        <v>520</v>
      </c>
      <c r="E26" s="5">
        <v>1335</v>
      </c>
      <c r="F26" t="s">
        <v>55</v>
      </c>
      <c r="G26" s="5" t="s">
        <v>19</v>
      </c>
      <c r="H26" s="5" t="s">
        <v>20</v>
      </c>
      <c r="K26" t="s">
        <v>22</v>
      </c>
    </row>
    <row r="27" spans="1:11" x14ac:dyDescent="0.25">
      <c r="A27" s="5">
        <v>3</v>
      </c>
      <c r="B27" s="6">
        <v>43041</v>
      </c>
      <c r="C27" s="5" t="s">
        <v>18</v>
      </c>
      <c r="D27" s="5">
        <v>465</v>
      </c>
      <c r="E27" s="5">
        <v>995</v>
      </c>
      <c r="F27" t="s">
        <v>56</v>
      </c>
      <c r="G27" s="5" t="s">
        <v>19</v>
      </c>
      <c r="H27" s="5" t="s">
        <v>21</v>
      </c>
      <c r="K27" t="s">
        <v>22</v>
      </c>
    </row>
    <row r="28" spans="1:11" x14ac:dyDescent="0.25">
      <c r="A28" s="5">
        <v>3</v>
      </c>
      <c r="B28" s="6">
        <v>43041</v>
      </c>
      <c r="C28" s="5" t="s">
        <v>18</v>
      </c>
      <c r="D28" s="5">
        <v>533</v>
      </c>
      <c r="E28" s="5">
        <v>1360</v>
      </c>
      <c r="F28" t="s">
        <v>57</v>
      </c>
      <c r="G28" s="5" t="s">
        <v>19</v>
      </c>
      <c r="H28" s="5" t="s">
        <v>20</v>
      </c>
      <c r="K28" t="s">
        <v>22</v>
      </c>
    </row>
    <row r="29" spans="1:11" x14ac:dyDescent="0.25">
      <c r="A29" s="5">
        <v>3</v>
      </c>
      <c r="B29" s="6">
        <v>43041</v>
      </c>
      <c r="C29" s="5" t="s">
        <v>18</v>
      </c>
      <c r="D29" s="5">
        <v>515</v>
      </c>
      <c r="E29" s="5">
        <v>1285</v>
      </c>
      <c r="F29" t="s">
        <v>58</v>
      </c>
      <c r="G29" s="5" t="s">
        <v>19</v>
      </c>
      <c r="H29" s="5" t="s">
        <v>20</v>
      </c>
      <c r="K29" t="s">
        <v>22</v>
      </c>
    </row>
    <row r="30" spans="1:11" x14ac:dyDescent="0.25">
      <c r="A30" s="5">
        <v>3</v>
      </c>
      <c r="B30" s="6">
        <v>43041</v>
      </c>
      <c r="C30" s="5" t="s">
        <v>18</v>
      </c>
      <c r="D30" s="5">
        <v>512</v>
      </c>
      <c r="E30" s="5">
        <v>1255</v>
      </c>
      <c r="F30" t="s">
        <v>59</v>
      </c>
      <c r="G30" s="5" t="s">
        <v>19</v>
      </c>
      <c r="H30" s="5" t="s">
        <v>20</v>
      </c>
      <c r="K30" t="s">
        <v>22</v>
      </c>
    </row>
    <row r="31" spans="1:11" x14ac:dyDescent="0.25">
      <c r="A31" s="5">
        <v>3</v>
      </c>
      <c r="B31" s="6">
        <v>43041</v>
      </c>
      <c r="C31" s="5" t="s">
        <v>18</v>
      </c>
      <c r="D31" s="5">
        <v>500</v>
      </c>
      <c r="E31" s="5">
        <v>1150</v>
      </c>
      <c r="F31" t="s">
        <v>60</v>
      </c>
      <c r="G31" s="5" t="s">
        <v>19</v>
      </c>
      <c r="H31" s="5" t="s">
        <v>21</v>
      </c>
      <c r="K31" t="s">
        <v>22</v>
      </c>
    </row>
    <row r="32" spans="1:11" x14ac:dyDescent="0.25">
      <c r="A32" s="5">
        <v>3</v>
      </c>
      <c r="B32" s="6">
        <v>43041</v>
      </c>
      <c r="C32" s="5" t="s">
        <v>18</v>
      </c>
      <c r="D32" s="5">
        <v>492</v>
      </c>
      <c r="E32" s="5">
        <v>1095</v>
      </c>
      <c r="F32" t="s">
        <v>61</v>
      </c>
      <c r="G32" s="5" t="s">
        <v>19</v>
      </c>
      <c r="H32" s="5" t="s">
        <v>20</v>
      </c>
      <c r="K32" t="s">
        <v>22</v>
      </c>
    </row>
    <row r="33" spans="1:11" x14ac:dyDescent="0.25">
      <c r="A33" s="5">
        <v>3</v>
      </c>
      <c r="B33" s="6">
        <v>43041</v>
      </c>
      <c r="C33" s="5" t="s">
        <v>18</v>
      </c>
      <c r="D33" s="5">
        <v>540</v>
      </c>
      <c r="E33" s="5">
        <v>1845</v>
      </c>
      <c r="F33" t="s">
        <v>62</v>
      </c>
      <c r="G33" s="5" t="s">
        <v>19</v>
      </c>
      <c r="H33" s="5" t="s">
        <v>20</v>
      </c>
      <c r="K33" t="s">
        <v>22</v>
      </c>
    </row>
    <row r="34" spans="1:11" x14ac:dyDescent="0.25">
      <c r="A34" s="5">
        <v>3</v>
      </c>
      <c r="B34" s="6">
        <v>43041</v>
      </c>
      <c r="C34" s="5" t="s">
        <v>18</v>
      </c>
      <c r="D34" s="5">
        <v>526</v>
      </c>
      <c r="E34" s="5">
        <v>1380</v>
      </c>
      <c r="F34" t="s">
        <v>63</v>
      </c>
      <c r="G34" s="5" t="s">
        <v>19</v>
      </c>
      <c r="H34" s="5" t="s">
        <v>20</v>
      </c>
      <c r="K34" t="s">
        <v>22</v>
      </c>
    </row>
    <row r="39" spans="1:11" x14ac:dyDescent="0.25">
      <c r="I39" s="5"/>
      <c r="J39" s="5"/>
      <c r="K39" s="5"/>
    </row>
    <row r="40" spans="1:11" x14ac:dyDescent="0.25">
      <c r="I40" s="5"/>
      <c r="J40" s="5"/>
      <c r="K40" s="5"/>
    </row>
    <row r="41" spans="1:11" x14ac:dyDescent="0.25">
      <c r="I41" s="5"/>
      <c r="J41" s="5"/>
      <c r="K41" s="5"/>
    </row>
    <row r="42" spans="1:11" x14ac:dyDescent="0.25">
      <c r="I42" s="5"/>
      <c r="J42" s="5"/>
      <c r="K42" s="5"/>
    </row>
    <row r="43" spans="1:11" x14ac:dyDescent="0.25">
      <c r="I43" s="5"/>
      <c r="J43" s="5"/>
      <c r="K43" s="5"/>
    </row>
    <row r="44" spans="1:11" x14ac:dyDescent="0.25">
      <c r="I44" s="5"/>
      <c r="J44" s="5"/>
      <c r="K44" s="5"/>
    </row>
    <row r="45" spans="1:11" x14ac:dyDescent="0.25">
      <c r="I45" s="5"/>
      <c r="J45" s="5"/>
      <c r="K45" s="5"/>
    </row>
    <row r="46" spans="1:11" x14ac:dyDescent="0.25">
      <c r="I46" s="5"/>
      <c r="J46" s="5"/>
      <c r="K46" s="5"/>
    </row>
    <row r="47" spans="1:11" x14ac:dyDescent="0.25">
      <c r="K47" s="5"/>
    </row>
    <row r="48" spans="1:11" x14ac:dyDescent="0.25">
      <c r="K48" s="5"/>
    </row>
    <row r="49" spans="9:11" x14ac:dyDescent="0.25">
      <c r="I49" s="5"/>
      <c r="J49" s="5"/>
      <c r="K49" s="5"/>
    </row>
    <row r="50" spans="9:11" x14ac:dyDescent="0.25">
      <c r="I50" s="5"/>
      <c r="J50" s="5"/>
      <c r="K50" s="5"/>
    </row>
    <row r="51" spans="9:11" x14ac:dyDescent="0.25">
      <c r="I51" s="5"/>
      <c r="J51" s="5"/>
      <c r="K51" s="5"/>
    </row>
    <row r="52" spans="9:11" x14ac:dyDescent="0.25">
      <c r="I52" s="5"/>
      <c r="J52" s="5"/>
      <c r="K52" s="5"/>
    </row>
    <row r="53" spans="9:11" x14ac:dyDescent="0.25">
      <c r="I53" s="5"/>
      <c r="J53" s="5"/>
      <c r="K53" s="5"/>
    </row>
    <row r="54" spans="9:11" x14ac:dyDescent="0.25">
      <c r="I54" s="5"/>
      <c r="J54" s="5"/>
      <c r="K54" s="5"/>
    </row>
    <row r="55" spans="9:11" x14ac:dyDescent="0.25">
      <c r="I55" s="5"/>
      <c r="J55" s="5"/>
      <c r="K55" s="5"/>
    </row>
    <row r="56" spans="9:11" x14ac:dyDescent="0.25">
      <c r="I56" s="5"/>
      <c r="J56" s="5"/>
      <c r="K56" s="5"/>
    </row>
    <row r="57" spans="9:11" x14ac:dyDescent="0.25">
      <c r="I57" s="5"/>
      <c r="J57" s="5"/>
      <c r="K57" s="5"/>
    </row>
    <row r="58" spans="9:11" x14ac:dyDescent="0.25">
      <c r="I58" s="5"/>
      <c r="J58" s="5"/>
      <c r="K58" s="5"/>
    </row>
    <row r="59" spans="9:11" x14ac:dyDescent="0.25">
      <c r="I59" s="5"/>
      <c r="J59" s="5"/>
      <c r="K59" s="5"/>
    </row>
    <row r="60" spans="9:11" x14ac:dyDescent="0.25">
      <c r="I60" s="5"/>
      <c r="J60" s="5"/>
      <c r="K60" s="5"/>
    </row>
    <row r="61" spans="9:11" x14ac:dyDescent="0.25">
      <c r="I61" s="5"/>
      <c r="J61" s="5"/>
      <c r="K61" s="5"/>
    </row>
    <row r="62" spans="9:11" x14ac:dyDescent="0.25">
      <c r="I62" s="5"/>
      <c r="J62" s="5"/>
      <c r="K62" s="5"/>
    </row>
    <row r="63" spans="9:11" x14ac:dyDescent="0.25">
      <c r="I63" s="5"/>
      <c r="J63" s="5"/>
      <c r="K63" s="5"/>
    </row>
    <row r="64" spans="9:11" x14ac:dyDescent="0.25">
      <c r="I64" s="5"/>
      <c r="J64" s="5"/>
      <c r="K64" s="5"/>
    </row>
    <row r="65" spans="9:11" x14ac:dyDescent="0.25">
      <c r="I65" s="5"/>
      <c r="J65" s="5"/>
      <c r="K65" s="5"/>
    </row>
    <row r="66" spans="9:11" x14ac:dyDescent="0.25">
      <c r="I66" s="5"/>
      <c r="J66" s="5"/>
      <c r="K66" s="5"/>
    </row>
    <row r="67" spans="9:11" x14ac:dyDescent="0.25">
      <c r="I67" s="5"/>
      <c r="J67" s="5"/>
      <c r="K67" s="5"/>
    </row>
    <row r="68" spans="9:11" x14ac:dyDescent="0.25">
      <c r="I68" s="5"/>
      <c r="J68" s="5"/>
      <c r="K68" s="5"/>
    </row>
    <row r="69" spans="9:11" x14ac:dyDescent="0.25">
      <c r="I69" s="5"/>
      <c r="J69" s="5"/>
      <c r="K69" s="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F51D7-B06D-4527-A264-61C11B01CE83}">
  <dimension ref="A1:T3006"/>
  <sheetViews>
    <sheetView topLeftCell="C1" workbookViewId="0">
      <selection activeCell="AB21" sqref="AB21"/>
    </sheetView>
  </sheetViews>
  <sheetFormatPr defaultRowHeight="15" x14ac:dyDescent="0.25"/>
  <cols>
    <col min="2" max="2" width="28.85546875" bestFit="1" customWidth="1"/>
    <col min="3" max="3" width="9.42578125" bestFit="1" customWidth="1"/>
    <col min="4" max="4" width="1.7109375" customWidth="1"/>
    <col min="5" max="7" width="10.7109375" customWidth="1"/>
    <col min="8" max="8" width="3.7109375" customWidth="1"/>
    <col min="9" max="10" width="15.7109375" customWidth="1"/>
    <col min="11" max="11" width="6.140625" customWidth="1"/>
    <col min="12" max="12" width="10.140625" bestFit="1" customWidth="1"/>
    <col min="13" max="13" width="5.85546875" bestFit="1" customWidth="1"/>
    <col min="14" max="14" width="9.28515625" customWidth="1"/>
    <col min="15" max="15" width="5.85546875" bestFit="1" customWidth="1"/>
    <col min="16" max="16" width="8.5703125" customWidth="1"/>
    <col min="17" max="17" width="8.7109375" customWidth="1"/>
    <col min="18" max="18" width="7.140625" bestFit="1" customWidth="1"/>
    <col min="19" max="19" width="7.140625" customWidth="1"/>
    <col min="20" max="20" width="8.140625" customWidth="1"/>
  </cols>
  <sheetData>
    <row r="1" spans="1:20" ht="147" customHeight="1" x14ac:dyDescent="0.25">
      <c r="A1" s="60" t="s">
        <v>64</v>
      </c>
      <c r="B1" s="60"/>
      <c r="C1" s="60"/>
      <c r="D1" s="60"/>
      <c r="E1" s="60"/>
      <c r="F1" s="60"/>
      <c r="G1" s="60"/>
      <c r="H1" s="60"/>
      <c r="I1" s="60"/>
      <c r="J1" s="60"/>
    </row>
    <row r="2" spans="1:20" ht="16.149999999999999" customHeight="1" x14ac:dyDescent="0.25">
      <c r="A2" s="61" t="s">
        <v>65</v>
      </c>
      <c r="B2" s="61"/>
      <c r="C2" s="61"/>
      <c r="E2" s="8"/>
      <c r="F2" s="8"/>
      <c r="G2" s="8"/>
    </row>
    <row r="3" spans="1:20" ht="17.45" customHeight="1" x14ac:dyDescent="0.25">
      <c r="A3" s="61"/>
      <c r="B3" s="61"/>
      <c r="C3" s="61"/>
      <c r="E3" s="9"/>
      <c r="F3" s="10" t="s">
        <v>66</v>
      </c>
      <c r="G3" s="9"/>
      <c r="I3" s="62" t="s">
        <v>67</v>
      </c>
      <c r="J3" s="62"/>
    </row>
    <row r="4" spans="1:20" ht="19.5" x14ac:dyDescent="0.35">
      <c r="A4" s="63" t="s">
        <v>68</v>
      </c>
      <c r="B4" s="63"/>
      <c r="C4" s="63"/>
      <c r="E4" s="11"/>
      <c r="F4" s="12" t="s">
        <v>69</v>
      </c>
      <c r="G4" s="11"/>
      <c r="I4" s="64" t="s">
        <v>70</v>
      </c>
      <c r="J4" s="64"/>
      <c r="M4" s="57" t="s">
        <v>71</v>
      </c>
      <c r="N4" s="57" t="s">
        <v>72</v>
      </c>
      <c r="O4" s="57" t="s">
        <v>73</v>
      </c>
      <c r="P4" s="58" t="s">
        <v>74</v>
      </c>
      <c r="Q4" s="58" t="s">
        <v>75</v>
      </c>
      <c r="R4" s="58" t="s">
        <v>76</v>
      </c>
      <c r="S4" s="13"/>
      <c r="T4" s="59" t="s">
        <v>77</v>
      </c>
    </row>
    <row r="5" spans="1:20" ht="15.75" thickBot="1" x14ac:dyDescent="0.3">
      <c r="A5" s="65" t="s">
        <v>78</v>
      </c>
      <c r="B5" s="65"/>
      <c r="C5" s="65"/>
      <c r="E5" s="14" t="s">
        <v>79</v>
      </c>
      <c r="F5" s="15" t="s">
        <v>80</v>
      </c>
      <c r="G5" s="15" t="s">
        <v>81</v>
      </c>
      <c r="I5" s="16" t="s">
        <v>74</v>
      </c>
      <c r="J5" s="17" t="s">
        <v>75</v>
      </c>
      <c r="L5" s="18" t="s">
        <v>2</v>
      </c>
      <c r="M5" s="57"/>
      <c r="N5" s="57"/>
      <c r="O5" s="57"/>
      <c r="P5" s="58"/>
      <c r="Q5" s="58"/>
      <c r="R5" s="58"/>
      <c r="S5" s="13"/>
      <c r="T5" s="59"/>
    </row>
    <row r="6" spans="1:20" x14ac:dyDescent="0.25">
      <c r="A6" s="19"/>
      <c r="B6" s="18"/>
      <c r="C6" s="18"/>
      <c r="E6">
        <v>0</v>
      </c>
      <c r="F6">
        <v>8.8499999999999995E-2</v>
      </c>
      <c r="I6" s="20" t="s">
        <v>82</v>
      </c>
      <c r="J6" s="20" t="s">
        <v>83</v>
      </c>
      <c r="L6" s="21">
        <v>43011</v>
      </c>
      <c r="M6" s="22"/>
      <c r="N6" s="23">
        <v>198</v>
      </c>
      <c r="O6" s="24"/>
      <c r="P6" s="25"/>
      <c r="Q6" s="25">
        <v>79</v>
      </c>
      <c r="R6" s="25"/>
      <c r="S6" s="33">
        <f t="shared" ref="S6:S33" si="0">P6+Q6-R6</f>
        <v>79</v>
      </c>
      <c r="T6" s="26">
        <v>36223</v>
      </c>
    </row>
    <row r="7" spans="1:20" ht="15.75" x14ac:dyDescent="0.3">
      <c r="A7" s="27"/>
      <c r="B7" s="28" t="s">
        <v>84</v>
      </c>
      <c r="C7">
        <f t="array" ref="C7">SUM(IF(FREQUENCY(IF(LEN(I6:I3006)&gt;0,MATCH(I6:I3006,I6:I3006,0),""), IF(LEN(I6:I3006)&gt;0,MATCH(I6:I3006,I6:I3006,0),""))&gt;0,1))</f>
        <v>71</v>
      </c>
      <c r="E7">
        <v>1</v>
      </c>
      <c r="F7">
        <v>7.1999999999999995E-2</v>
      </c>
      <c r="G7">
        <v>19.489000000000001</v>
      </c>
      <c r="I7" s="20" t="s">
        <v>85</v>
      </c>
      <c r="J7" s="20" t="s">
        <v>86</v>
      </c>
      <c r="L7" s="29">
        <v>43025</v>
      </c>
      <c r="M7" s="30">
        <v>119</v>
      </c>
      <c r="N7" s="31">
        <v>152</v>
      </c>
      <c r="O7" s="32">
        <v>193</v>
      </c>
      <c r="P7" s="33">
        <v>79</v>
      </c>
      <c r="Q7" s="33">
        <v>125</v>
      </c>
      <c r="R7" s="33">
        <v>65</v>
      </c>
      <c r="S7" s="33">
        <f t="shared" si="0"/>
        <v>139</v>
      </c>
      <c r="T7" s="52">
        <v>41717</v>
      </c>
    </row>
    <row r="8" spans="1:20" ht="15.75" x14ac:dyDescent="0.3">
      <c r="A8" s="19"/>
      <c r="B8" s="28" t="s">
        <v>87</v>
      </c>
      <c r="C8">
        <f t="array" ref="C8">SUM(IF(FREQUENCY(IF(LEN(J6:J3006)&gt;0,MATCH(J6:J3006,J6:J3006,0),""), IF(LEN(J6:J3006)&gt;0,MATCH(J6:J3006,J6:J3006,0),""))&gt;0,1))</f>
        <v>87</v>
      </c>
      <c r="E8">
        <v>2</v>
      </c>
      <c r="F8">
        <v>7.6700000000000004E-2</v>
      </c>
      <c r="G8">
        <v>2.8210000000000002</v>
      </c>
      <c r="I8" s="20" t="s">
        <v>88</v>
      </c>
      <c r="J8" s="20" t="s">
        <v>89</v>
      </c>
      <c r="L8" s="29">
        <v>43040</v>
      </c>
      <c r="M8" s="30">
        <v>162</v>
      </c>
      <c r="N8" s="31">
        <v>204</v>
      </c>
      <c r="O8" s="32">
        <v>256</v>
      </c>
      <c r="P8" s="33">
        <v>125</v>
      </c>
      <c r="Q8" s="33">
        <v>116</v>
      </c>
      <c r="R8" s="33">
        <v>71</v>
      </c>
      <c r="S8" s="33">
        <f t="shared" si="0"/>
        <v>170</v>
      </c>
      <c r="T8" s="34">
        <v>31138</v>
      </c>
    </row>
    <row r="9" spans="1:20" ht="15.75" x14ac:dyDescent="0.3">
      <c r="A9" s="19"/>
      <c r="B9" s="28" t="s">
        <v>90</v>
      </c>
      <c r="C9">
        <f t="array" ref="C9">SUM(IF(FREQUENCY(COUNTIF(J6:J3006, "&lt;"&amp;J6:J3006), COUNTIF(J6:J3006, "&lt;"&amp;J6:J3006))&gt;0, IF( COUNTIF(I6:I3006,J6:J3006)&gt;0, 1, 0), ""))</f>
        <v>32</v>
      </c>
      <c r="E9">
        <v>3</v>
      </c>
      <c r="F9">
        <v>7.3599999999999999E-2</v>
      </c>
      <c r="G9">
        <v>1.23</v>
      </c>
      <c r="I9" s="20" t="s">
        <v>91</v>
      </c>
      <c r="J9" s="20" t="s">
        <v>92</v>
      </c>
      <c r="L9" s="29">
        <v>43053</v>
      </c>
      <c r="M9" s="30">
        <v>166</v>
      </c>
      <c r="N9" s="31">
        <v>210</v>
      </c>
      <c r="O9" s="32">
        <v>265</v>
      </c>
      <c r="P9" s="33">
        <v>116</v>
      </c>
      <c r="Q9" s="33">
        <v>125</v>
      </c>
      <c r="R9" s="33">
        <v>69</v>
      </c>
      <c r="S9" s="33">
        <f t="shared" si="0"/>
        <v>172</v>
      </c>
      <c r="T9" s="34">
        <v>25786</v>
      </c>
    </row>
    <row r="10" spans="1:20" x14ac:dyDescent="0.25">
      <c r="A10" s="19"/>
      <c r="B10" s="28"/>
      <c r="C10" s="35"/>
      <c r="E10">
        <v>4</v>
      </c>
      <c r="F10">
        <v>6.9000000000000006E-2</v>
      </c>
      <c r="G10">
        <v>0.73799999999999999</v>
      </c>
      <c r="I10" s="20" t="s">
        <v>91</v>
      </c>
      <c r="J10" s="20" t="s">
        <v>93</v>
      </c>
      <c r="L10" s="29">
        <v>43067</v>
      </c>
      <c r="M10" s="30">
        <v>167</v>
      </c>
      <c r="N10" s="36">
        <v>207</v>
      </c>
      <c r="O10" s="32">
        <v>258</v>
      </c>
      <c r="P10" s="33">
        <v>125</v>
      </c>
      <c r="Q10" s="33">
        <v>133</v>
      </c>
      <c r="R10" s="33">
        <v>80</v>
      </c>
      <c r="S10" s="33">
        <f t="shared" si="0"/>
        <v>178</v>
      </c>
      <c r="T10" s="34">
        <v>27893</v>
      </c>
    </row>
    <row r="11" spans="1:20" x14ac:dyDescent="0.25">
      <c r="A11" s="19"/>
      <c r="B11" s="37" t="s">
        <v>94</v>
      </c>
      <c r="C11" s="38">
        <f>C7*C8</f>
        <v>6177</v>
      </c>
      <c r="E11">
        <v>5</v>
      </c>
      <c r="F11">
        <v>6.4399999999999999E-2</v>
      </c>
      <c r="G11">
        <v>0.51300000000000001</v>
      </c>
      <c r="I11" s="20" t="s">
        <v>91</v>
      </c>
      <c r="J11" s="20" t="s">
        <v>95</v>
      </c>
      <c r="L11" s="29">
        <v>43081</v>
      </c>
      <c r="M11" s="30">
        <v>192</v>
      </c>
      <c r="N11" s="31">
        <v>229</v>
      </c>
      <c r="O11" s="32">
        <v>273</v>
      </c>
      <c r="P11" s="33">
        <v>133</v>
      </c>
      <c r="Q11" s="33">
        <v>210</v>
      </c>
      <c r="R11" s="33">
        <v>122</v>
      </c>
      <c r="S11" s="33">
        <f t="shared" si="0"/>
        <v>221</v>
      </c>
      <c r="T11" s="34">
        <v>40079</v>
      </c>
    </row>
    <row r="12" spans="1:20" x14ac:dyDescent="0.25">
      <c r="A12" s="55" t="s">
        <v>96</v>
      </c>
      <c r="B12" s="55"/>
      <c r="C12" s="39">
        <f>LOOKUP(C9,E:E,G:G)</f>
        <v>4.3999999999999997E-2</v>
      </c>
      <c r="E12">
        <v>6</v>
      </c>
      <c r="F12">
        <v>0.06</v>
      </c>
      <c r="G12">
        <v>0.38800000000000001</v>
      </c>
      <c r="I12" s="20" t="s">
        <v>97</v>
      </c>
      <c r="J12" s="20" t="s">
        <v>98</v>
      </c>
      <c r="L12" s="29">
        <v>43095</v>
      </c>
      <c r="M12" s="30">
        <v>198</v>
      </c>
      <c r="N12" s="31">
        <v>229</v>
      </c>
      <c r="O12" s="32">
        <v>264</v>
      </c>
      <c r="P12" s="33">
        <v>210</v>
      </c>
      <c r="Q12" s="33">
        <v>207</v>
      </c>
      <c r="R12" s="33">
        <v>190</v>
      </c>
      <c r="S12" s="33">
        <f t="shared" si="0"/>
        <v>227</v>
      </c>
      <c r="T12" s="34">
        <v>40278</v>
      </c>
    </row>
    <row r="13" spans="1:20" x14ac:dyDescent="0.25">
      <c r="A13" s="55" t="s">
        <v>99</v>
      </c>
      <c r="B13" s="55"/>
      <c r="C13" s="39">
        <f>LOOKUP(C9,E:E,F:F)</f>
        <v>2.112E-2</v>
      </c>
      <c r="E13">
        <v>7</v>
      </c>
      <c r="F13">
        <v>5.6099999999999997E-2</v>
      </c>
      <c r="G13">
        <v>0.309</v>
      </c>
      <c r="I13" s="20" t="s">
        <v>97</v>
      </c>
      <c r="J13" s="20" t="s">
        <v>100</v>
      </c>
      <c r="L13" s="29">
        <v>43108</v>
      </c>
      <c r="M13" s="30">
        <v>197</v>
      </c>
      <c r="N13" s="31">
        <v>227</v>
      </c>
      <c r="O13" s="32">
        <v>261</v>
      </c>
      <c r="P13" s="33">
        <v>207</v>
      </c>
      <c r="Q13" s="33">
        <v>207</v>
      </c>
      <c r="R13" s="33">
        <v>189</v>
      </c>
      <c r="S13" s="33">
        <f t="shared" si="0"/>
        <v>225</v>
      </c>
      <c r="T13" s="34">
        <v>37447</v>
      </c>
    </row>
    <row r="14" spans="1:20" x14ac:dyDescent="0.25">
      <c r="A14" s="19"/>
      <c r="E14">
        <v>8</v>
      </c>
      <c r="F14">
        <v>5.2600000000000001E-2</v>
      </c>
      <c r="G14">
        <v>0.25600000000000001</v>
      </c>
      <c r="I14" s="20" t="s">
        <v>101</v>
      </c>
      <c r="J14" s="20" t="s">
        <v>102</v>
      </c>
      <c r="L14" s="29">
        <v>43125</v>
      </c>
      <c r="M14" s="30">
        <v>197</v>
      </c>
      <c r="N14" s="31">
        <v>226</v>
      </c>
      <c r="O14" s="32">
        <v>261</v>
      </c>
      <c r="P14" s="33">
        <v>207</v>
      </c>
      <c r="Q14" s="33">
        <v>211</v>
      </c>
      <c r="R14" s="33">
        <v>193</v>
      </c>
      <c r="S14" s="33">
        <f t="shared" si="0"/>
        <v>225</v>
      </c>
      <c r="T14" s="34">
        <v>48218</v>
      </c>
    </row>
    <row r="15" spans="1:20" x14ac:dyDescent="0.25">
      <c r="A15" s="19"/>
      <c r="B15" s="28" t="s">
        <v>103</v>
      </c>
      <c r="C15" s="40">
        <f>IF(C9&lt;51,(C11*C13),((C7+1)*(C8+1)/(LOOKUP(C9,E:E,F:F)+1))-1)</f>
        <v>130.45823999999999</v>
      </c>
      <c r="E15">
        <v>9</v>
      </c>
      <c r="F15">
        <v>4.9500000000000002E-2</v>
      </c>
      <c r="G15">
        <v>0.217</v>
      </c>
      <c r="I15" s="20" t="s">
        <v>104</v>
      </c>
      <c r="J15" s="20" t="s">
        <v>105</v>
      </c>
      <c r="L15" s="29">
        <v>43137</v>
      </c>
      <c r="M15" s="30">
        <v>197</v>
      </c>
      <c r="N15" s="31">
        <v>226</v>
      </c>
      <c r="O15" s="32">
        <v>261</v>
      </c>
      <c r="P15" s="33">
        <v>211</v>
      </c>
      <c r="Q15" s="33">
        <v>207</v>
      </c>
      <c r="R15" s="33">
        <v>193</v>
      </c>
      <c r="S15" s="33">
        <f t="shared" si="0"/>
        <v>225</v>
      </c>
      <c r="T15" s="34">
        <v>35097</v>
      </c>
    </row>
    <row r="16" spans="1:20" ht="15.75" x14ac:dyDescent="0.3">
      <c r="A16" s="19"/>
      <c r="B16" s="28" t="s">
        <v>106</v>
      </c>
      <c r="C16" s="41">
        <f>((C7+1)*(C8+1)/(C9+1))-1</f>
        <v>191</v>
      </c>
      <c r="E16">
        <v>10</v>
      </c>
      <c r="F16">
        <v>4.6800000000000001E-2</v>
      </c>
      <c r="G16">
        <v>0.188</v>
      </c>
      <c r="I16" s="20" t="s">
        <v>107</v>
      </c>
      <c r="J16" s="20" t="s">
        <v>108</v>
      </c>
      <c r="L16" s="29">
        <v>43152</v>
      </c>
      <c r="M16" s="30">
        <v>196</v>
      </c>
      <c r="N16" s="31">
        <v>226</v>
      </c>
      <c r="O16" s="32">
        <v>259</v>
      </c>
      <c r="P16" s="33">
        <v>207</v>
      </c>
      <c r="Q16" s="33">
        <v>216</v>
      </c>
      <c r="R16" s="33">
        <v>198</v>
      </c>
      <c r="S16" s="33">
        <f t="shared" si="0"/>
        <v>225</v>
      </c>
      <c r="T16" s="34">
        <v>42862</v>
      </c>
    </row>
    <row r="17" spans="1:20" x14ac:dyDescent="0.25">
      <c r="A17" s="19"/>
      <c r="B17" s="28" t="s">
        <v>109</v>
      </c>
      <c r="C17" s="42">
        <f>IF(C9&lt;51,(C11*C12),((C7+1)*(C8+1)/(LOOKUP(C9,E:E,G:G)+1))-1)</f>
        <v>271.78800000000001</v>
      </c>
      <c r="E17">
        <v>11</v>
      </c>
      <c r="F17">
        <v>4.4299999999999999E-2</v>
      </c>
      <c r="G17">
        <v>0.16500000000000001</v>
      </c>
      <c r="I17" s="20" t="s">
        <v>110</v>
      </c>
      <c r="J17" s="20" t="s">
        <v>111</v>
      </c>
      <c r="L17" s="29">
        <v>43165</v>
      </c>
      <c r="M17" s="30">
        <v>194</v>
      </c>
      <c r="N17" s="31">
        <v>224</v>
      </c>
      <c r="O17" s="32">
        <v>259</v>
      </c>
      <c r="P17" s="33">
        <v>216</v>
      </c>
      <c r="Q17" s="33">
        <v>192</v>
      </c>
      <c r="R17" s="33">
        <v>185</v>
      </c>
      <c r="S17" s="33">
        <f t="shared" si="0"/>
        <v>223</v>
      </c>
      <c r="T17" s="34">
        <v>37205</v>
      </c>
    </row>
    <row r="18" spans="1:20" ht="12" customHeight="1" x14ac:dyDescent="0.25">
      <c r="A18" s="19"/>
      <c r="B18" s="28"/>
      <c r="C18" s="38"/>
      <c r="E18">
        <v>12</v>
      </c>
      <c r="F18">
        <v>4.2000000000000003E-2</v>
      </c>
      <c r="G18">
        <v>0.14699999999999999</v>
      </c>
      <c r="I18" s="20" t="s">
        <v>110</v>
      </c>
      <c r="J18" s="20" t="s">
        <v>112</v>
      </c>
      <c r="L18" s="29">
        <v>43188</v>
      </c>
      <c r="M18" s="30">
        <v>197</v>
      </c>
      <c r="N18" s="31">
        <v>227</v>
      </c>
      <c r="O18" s="32">
        <v>262</v>
      </c>
      <c r="P18" s="33">
        <v>192</v>
      </c>
      <c r="Q18" s="33">
        <v>220</v>
      </c>
      <c r="R18" s="33">
        <v>186</v>
      </c>
      <c r="S18" s="33">
        <f t="shared" si="0"/>
        <v>226</v>
      </c>
      <c r="T18" s="34">
        <v>66235</v>
      </c>
    </row>
    <row r="19" spans="1:20" x14ac:dyDescent="0.25">
      <c r="A19" s="43" t="s">
        <v>113</v>
      </c>
      <c r="E19">
        <v>13</v>
      </c>
      <c r="F19">
        <v>0.04</v>
      </c>
      <c r="G19">
        <v>0.13300000000000001</v>
      </c>
      <c r="I19" s="20" t="s">
        <v>114</v>
      </c>
      <c r="J19" s="20" t="s">
        <v>115</v>
      </c>
      <c r="L19" s="29">
        <v>43209</v>
      </c>
      <c r="M19" s="30">
        <v>195</v>
      </c>
      <c r="N19" s="31">
        <v>224</v>
      </c>
      <c r="O19" s="32">
        <v>258</v>
      </c>
      <c r="P19" s="33">
        <v>220</v>
      </c>
      <c r="Q19" s="33">
        <v>203</v>
      </c>
      <c r="R19" s="33">
        <v>199</v>
      </c>
      <c r="S19" s="33">
        <f t="shared" si="0"/>
        <v>224</v>
      </c>
      <c r="T19" s="34">
        <v>61634</v>
      </c>
    </row>
    <row r="20" spans="1:20" ht="13.15" customHeight="1" x14ac:dyDescent="0.25">
      <c r="A20" s="56" t="s">
        <v>116</v>
      </c>
      <c r="B20" s="56"/>
      <c r="C20" s="56"/>
      <c r="E20">
        <v>14</v>
      </c>
      <c r="F20">
        <v>3.8199999999999998E-2</v>
      </c>
      <c r="G20">
        <v>0.121</v>
      </c>
      <c r="I20" s="20" t="s">
        <v>117</v>
      </c>
      <c r="J20" s="20" t="s">
        <v>115</v>
      </c>
      <c r="L20" s="29">
        <v>43221</v>
      </c>
      <c r="M20" s="30">
        <v>185</v>
      </c>
      <c r="N20" s="31">
        <v>215</v>
      </c>
      <c r="O20" s="32">
        <v>250</v>
      </c>
      <c r="P20" s="33">
        <v>203</v>
      </c>
      <c r="Q20" s="33">
        <v>176</v>
      </c>
      <c r="R20" s="33">
        <v>166</v>
      </c>
      <c r="S20" s="33">
        <f t="shared" si="0"/>
        <v>213</v>
      </c>
      <c r="T20" s="34">
        <v>34344</v>
      </c>
    </row>
    <row r="21" spans="1:20" x14ac:dyDescent="0.25">
      <c r="A21" s="56"/>
      <c r="B21" s="56"/>
      <c r="C21" s="56"/>
      <c r="E21">
        <v>15</v>
      </c>
      <c r="F21">
        <v>3.6499999999999998E-2</v>
      </c>
      <c r="G21">
        <v>0.111</v>
      </c>
      <c r="I21" s="20" t="s">
        <v>118</v>
      </c>
      <c r="J21" s="20" t="s">
        <v>119</v>
      </c>
      <c r="L21" s="29">
        <v>43236</v>
      </c>
      <c r="M21" s="30">
        <v>187</v>
      </c>
      <c r="N21" s="31">
        <v>221</v>
      </c>
      <c r="O21" s="32">
        <v>260</v>
      </c>
      <c r="P21" s="33">
        <v>176</v>
      </c>
      <c r="Q21" s="33">
        <v>178</v>
      </c>
      <c r="R21" s="33">
        <v>142</v>
      </c>
      <c r="S21" s="33">
        <f t="shared" si="0"/>
        <v>212</v>
      </c>
      <c r="T21" s="34">
        <v>42973</v>
      </c>
    </row>
    <row r="22" spans="1:20" ht="12.75" customHeight="1" x14ac:dyDescent="0.25">
      <c r="A22" s="56"/>
      <c r="B22" s="56"/>
      <c r="C22" s="56"/>
      <c r="E22">
        <v>16</v>
      </c>
      <c r="F22">
        <v>3.5000000000000003E-2</v>
      </c>
      <c r="G22">
        <v>0.10199999999999999</v>
      </c>
      <c r="I22" s="20" t="s">
        <v>120</v>
      </c>
      <c r="J22" s="20" t="s">
        <v>121</v>
      </c>
      <c r="L22" s="29">
        <v>43257</v>
      </c>
      <c r="M22" s="30">
        <v>196</v>
      </c>
      <c r="N22" s="31">
        <v>228</v>
      </c>
      <c r="O22" s="32">
        <v>265</v>
      </c>
      <c r="P22" s="33">
        <v>178</v>
      </c>
      <c r="Q22" s="33">
        <v>215</v>
      </c>
      <c r="R22" s="33">
        <v>168</v>
      </c>
      <c r="S22" s="33">
        <f t="shared" si="0"/>
        <v>225</v>
      </c>
      <c r="T22" s="53">
        <v>59668</v>
      </c>
    </row>
    <row r="23" spans="1:20" x14ac:dyDescent="0.25">
      <c r="E23">
        <v>17</v>
      </c>
      <c r="F23">
        <v>3.3619999999999997E-2</v>
      </c>
      <c r="G23">
        <v>9.4500000000000001E-2</v>
      </c>
      <c r="I23" s="20" t="s">
        <v>122</v>
      </c>
      <c r="J23" s="20" t="s">
        <v>123</v>
      </c>
      <c r="L23" s="29">
        <v>43272</v>
      </c>
      <c r="M23" s="30">
        <v>198</v>
      </c>
      <c r="N23" s="31">
        <v>223</v>
      </c>
      <c r="O23" s="32">
        <v>262</v>
      </c>
      <c r="P23" s="33">
        <v>215</v>
      </c>
      <c r="Q23" s="33">
        <v>212</v>
      </c>
      <c r="R23" s="33">
        <v>204</v>
      </c>
      <c r="S23" s="33">
        <f t="shared" si="0"/>
        <v>223</v>
      </c>
      <c r="T23" s="34">
        <v>43327</v>
      </c>
    </row>
    <row r="24" spans="1:20" x14ac:dyDescent="0.25">
      <c r="E24">
        <v>18</v>
      </c>
      <c r="F24">
        <v>3.2329999999999998E-2</v>
      </c>
      <c r="G24">
        <v>8.7999999999999995E-2</v>
      </c>
      <c r="I24" s="20" t="s">
        <v>124</v>
      </c>
      <c r="J24" s="20" t="s">
        <v>125</v>
      </c>
      <c r="L24" s="29">
        <v>43291</v>
      </c>
      <c r="M24" s="30">
        <v>195</v>
      </c>
      <c r="N24" s="31">
        <v>224</v>
      </c>
      <c r="O24" s="32">
        <v>257</v>
      </c>
      <c r="P24" s="33">
        <v>212</v>
      </c>
      <c r="Q24" s="33">
        <v>210</v>
      </c>
      <c r="R24" s="33">
        <v>199</v>
      </c>
      <c r="S24" s="33">
        <f t="shared" si="0"/>
        <v>223</v>
      </c>
      <c r="T24" s="11">
        <v>54748</v>
      </c>
    </row>
    <row r="25" spans="1:20" x14ac:dyDescent="0.25">
      <c r="E25">
        <v>19</v>
      </c>
      <c r="F25">
        <v>3.1140000000000001E-2</v>
      </c>
      <c r="G25">
        <v>8.2299999999999998E-2</v>
      </c>
      <c r="I25" s="20" t="s">
        <v>92</v>
      </c>
      <c r="J25" s="20" t="s">
        <v>125</v>
      </c>
      <c r="L25" s="29">
        <v>43306</v>
      </c>
      <c r="M25" s="30">
        <v>197</v>
      </c>
      <c r="N25" s="31">
        <v>226</v>
      </c>
      <c r="O25" s="32">
        <v>259</v>
      </c>
      <c r="P25" s="33">
        <v>210</v>
      </c>
      <c r="Q25" s="33">
        <v>215</v>
      </c>
      <c r="R25" s="33">
        <v>200</v>
      </c>
      <c r="S25" s="33">
        <f t="shared" si="0"/>
        <v>225</v>
      </c>
      <c r="T25" s="34">
        <v>42928</v>
      </c>
    </row>
    <row r="26" spans="1:20" x14ac:dyDescent="0.25">
      <c r="E26">
        <v>20</v>
      </c>
      <c r="F26">
        <v>3.0040000000000001E-2</v>
      </c>
      <c r="G26">
        <v>7.7299999999999994E-2</v>
      </c>
      <c r="I26" s="20" t="s">
        <v>126</v>
      </c>
      <c r="J26" s="20" t="s">
        <v>127</v>
      </c>
      <c r="L26" s="29">
        <v>43319</v>
      </c>
      <c r="M26" s="30">
        <v>193</v>
      </c>
      <c r="N26" s="31">
        <v>224</v>
      </c>
      <c r="O26" s="32">
        <v>259</v>
      </c>
      <c r="P26" s="33">
        <v>215</v>
      </c>
      <c r="Q26" s="33">
        <v>183</v>
      </c>
      <c r="R26" s="33">
        <v>176</v>
      </c>
      <c r="S26" s="33">
        <f t="shared" si="0"/>
        <v>222</v>
      </c>
      <c r="T26" s="34">
        <v>37374</v>
      </c>
    </row>
    <row r="27" spans="1:20" x14ac:dyDescent="0.25">
      <c r="E27">
        <v>21</v>
      </c>
      <c r="F27">
        <v>2.9010000000000001E-2</v>
      </c>
      <c r="G27">
        <v>7.2900000000000006E-2</v>
      </c>
      <c r="I27" s="20" t="s">
        <v>128</v>
      </c>
      <c r="J27" s="20" t="s">
        <v>86</v>
      </c>
      <c r="L27" s="29">
        <v>43335</v>
      </c>
      <c r="M27" s="30">
        <v>171</v>
      </c>
      <c r="N27" s="31">
        <v>204</v>
      </c>
      <c r="O27" s="32">
        <v>143</v>
      </c>
      <c r="P27" s="33">
        <v>183</v>
      </c>
      <c r="Q27" s="33">
        <v>138</v>
      </c>
      <c r="R27" s="33">
        <v>124</v>
      </c>
      <c r="S27" s="33">
        <f t="shared" si="0"/>
        <v>197</v>
      </c>
      <c r="T27" s="34">
        <v>46388</v>
      </c>
    </row>
    <row r="28" spans="1:20" x14ac:dyDescent="0.25">
      <c r="E28">
        <v>22</v>
      </c>
      <c r="F28">
        <v>2.8060000000000002E-2</v>
      </c>
      <c r="G28">
        <v>6.8900000000000003E-2</v>
      </c>
      <c r="I28" s="20" t="s">
        <v>129</v>
      </c>
      <c r="J28" s="20" t="s">
        <v>130</v>
      </c>
      <c r="L28" s="29">
        <v>43354</v>
      </c>
      <c r="M28" s="30">
        <v>151</v>
      </c>
      <c r="N28" s="31">
        <v>184</v>
      </c>
      <c r="O28" s="32">
        <v>225</v>
      </c>
      <c r="P28" s="33">
        <v>138</v>
      </c>
      <c r="Q28" s="33">
        <v>127</v>
      </c>
      <c r="R28" s="33">
        <v>95</v>
      </c>
      <c r="S28" s="33">
        <f t="shared" si="0"/>
        <v>170</v>
      </c>
      <c r="T28" s="34">
        <v>55527</v>
      </c>
    </row>
    <row r="29" spans="1:20" x14ac:dyDescent="0.25">
      <c r="E29">
        <v>23</v>
      </c>
      <c r="F29">
        <v>2.716E-2</v>
      </c>
      <c r="G29">
        <v>6.5299999999999997E-2</v>
      </c>
      <c r="I29" s="20" t="s">
        <v>131</v>
      </c>
      <c r="J29" s="20" t="s">
        <v>105</v>
      </c>
      <c r="L29" s="29">
        <v>43368</v>
      </c>
      <c r="M29" s="30">
        <v>155</v>
      </c>
      <c r="N29" s="31">
        <v>198</v>
      </c>
      <c r="O29" s="32">
        <v>252</v>
      </c>
      <c r="P29" s="33">
        <v>127</v>
      </c>
      <c r="Q29" s="33">
        <v>100</v>
      </c>
      <c r="R29" s="33">
        <v>64</v>
      </c>
      <c r="S29" s="33">
        <f t="shared" si="0"/>
        <v>163</v>
      </c>
      <c r="T29" s="34">
        <v>46832</v>
      </c>
    </row>
    <row r="30" spans="1:20" x14ac:dyDescent="0.25">
      <c r="E30">
        <v>24</v>
      </c>
      <c r="F30">
        <v>2.632E-2</v>
      </c>
      <c r="G30">
        <v>6.2E-2</v>
      </c>
      <c r="I30" s="20" t="s">
        <v>132</v>
      </c>
      <c r="J30" s="20" t="s">
        <v>133</v>
      </c>
      <c r="L30" s="54"/>
      <c r="M30" s="30"/>
      <c r="N30" s="31"/>
      <c r="O30" s="32"/>
      <c r="P30" s="33">
        <v>100</v>
      </c>
      <c r="Q30" s="33"/>
      <c r="R30" s="33"/>
      <c r="S30" s="33">
        <f t="shared" si="0"/>
        <v>100</v>
      </c>
      <c r="T30" s="34"/>
    </row>
    <row r="31" spans="1:20" x14ac:dyDescent="0.25">
      <c r="E31">
        <v>25</v>
      </c>
      <c r="F31">
        <v>2.5520000000000001E-2</v>
      </c>
      <c r="G31">
        <v>5.91E-2</v>
      </c>
      <c r="I31" s="20" t="s">
        <v>134</v>
      </c>
      <c r="J31" s="20" t="s">
        <v>135</v>
      </c>
      <c r="L31" s="54"/>
      <c r="M31" s="30"/>
      <c r="N31" s="31"/>
      <c r="O31" s="32"/>
      <c r="P31" s="33"/>
      <c r="Q31" s="33"/>
      <c r="R31" s="33"/>
      <c r="S31" s="33">
        <f t="shared" si="0"/>
        <v>0</v>
      </c>
      <c r="T31" s="34"/>
    </row>
    <row r="32" spans="1:20" x14ac:dyDescent="0.25">
      <c r="E32">
        <v>26</v>
      </c>
      <c r="F32">
        <v>2.478E-2</v>
      </c>
      <c r="G32">
        <v>5.6300000000000003E-2</v>
      </c>
      <c r="I32" s="20" t="s">
        <v>136</v>
      </c>
      <c r="J32" s="20" t="s">
        <v>137</v>
      </c>
      <c r="L32" s="54"/>
      <c r="M32" s="30"/>
      <c r="N32" s="31"/>
      <c r="O32" s="32"/>
      <c r="P32" s="33"/>
      <c r="Q32" s="33"/>
      <c r="R32" s="33"/>
      <c r="S32" s="33">
        <f t="shared" si="0"/>
        <v>0</v>
      </c>
      <c r="T32" s="34"/>
    </row>
    <row r="33" spans="5:20" x14ac:dyDescent="0.25">
      <c r="E33">
        <v>27</v>
      </c>
      <c r="F33">
        <v>2.4080000000000001E-2</v>
      </c>
      <c r="G33">
        <v>5.3900000000000003E-2</v>
      </c>
      <c r="I33" s="20" t="s">
        <v>138</v>
      </c>
      <c r="J33" s="20" t="s">
        <v>139</v>
      </c>
      <c r="L33" s="54"/>
      <c r="M33" s="30"/>
      <c r="N33" s="31"/>
      <c r="O33" s="32"/>
      <c r="P33" s="33"/>
      <c r="Q33" s="33"/>
      <c r="R33" s="33"/>
      <c r="S33" s="33">
        <f t="shared" si="0"/>
        <v>0</v>
      </c>
      <c r="T33" s="34"/>
    </row>
    <row r="34" spans="5:20" x14ac:dyDescent="0.25">
      <c r="E34">
        <v>28</v>
      </c>
      <c r="F34">
        <v>2.342E-2</v>
      </c>
      <c r="G34">
        <v>5.16E-2</v>
      </c>
      <c r="I34" s="20" t="s">
        <v>140</v>
      </c>
      <c r="J34" s="20" t="s">
        <v>141</v>
      </c>
      <c r="L34" s="29"/>
      <c r="M34" s="30"/>
      <c r="N34" s="31"/>
      <c r="O34" s="32"/>
      <c r="P34" s="33"/>
      <c r="Q34" s="33"/>
      <c r="R34" s="33"/>
      <c r="S34" s="33"/>
      <c r="T34" s="34"/>
    </row>
    <row r="35" spans="5:20" x14ac:dyDescent="0.25">
      <c r="E35">
        <v>29</v>
      </c>
      <c r="F35">
        <v>2.2790000000000001E-2</v>
      </c>
      <c r="G35">
        <v>4.9500000000000002E-2</v>
      </c>
      <c r="I35" s="20" t="s">
        <v>142</v>
      </c>
      <c r="J35" s="20" t="s">
        <v>143</v>
      </c>
      <c r="L35" s="29"/>
      <c r="M35" s="30"/>
      <c r="N35" s="31"/>
      <c r="O35" s="32"/>
      <c r="P35" s="33"/>
      <c r="Q35" s="33"/>
      <c r="R35" s="33"/>
      <c r="S35" s="33"/>
      <c r="T35" s="34"/>
    </row>
    <row r="36" spans="5:20" x14ac:dyDescent="0.25">
      <c r="E36">
        <v>30</v>
      </c>
      <c r="F36">
        <v>2.2210000000000001E-2</v>
      </c>
      <c r="G36">
        <v>4.7500000000000001E-2</v>
      </c>
      <c r="I36" s="20" t="s">
        <v>92</v>
      </c>
      <c r="J36" s="20" t="s">
        <v>144</v>
      </c>
      <c r="L36" s="29"/>
      <c r="M36" s="30"/>
      <c r="N36" s="31"/>
      <c r="O36" s="32"/>
      <c r="P36" s="33"/>
      <c r="Q36" s="33"/>
      <c r="R36" s="33"/>
      <c r="S36" s="33"/>
      <c r="T36" s="34"/>
    </row>
    <row r="37" spans="5:20" x14ac:dyDescent="0.25">
      <c r="E37">
        <v>31</v>
      </c>
      <c r="F37">
        <v>2.1649999999999999E-2</v>
      </c>
      <c r="G37">
        <v>4.5699999999999998E-2</v>
      </c>
      <c r="I37" s="20" t="s">
        <v>145</v>
      </c>
      <c r="J37" s="20" t="s">
        <v>146</v>
      </c>
      <c r="L37" s="29"/>
      <c r="M37" s="30"/>
      <c r="N37" s="31"/>
      <c r="O37" s="32"/>
      <c r="P37" s="33"/>
      <c r="Q37" s="33"/>
      <c r="R37" s="33"/>
      <c r="S37" s="33"/>
      <c r="T37" s="34"/>
    </row>
    <row r="38" spans="5:20" x14ac:dyDescent="0.25">
      <c r="E38">
        <v>32</v>
      </c>
      <c r="F38">
        <v>2.112E-2</v>
      </c>
      <c r="G38">
        <v>4.3999999999999997E-2</v>
      </c>
      <c r="I38" s="20" t="s">
        <v>93</v>
      </c>
      <c r="J38" s="20" t="s">
        <v>146</v>
      </c>
      <c r="L38" s="29"/>
      <c r="M38" s="30"/>
      <c r="N38" s="31"/>
      <c r="O38" s="32"/>
      <c r="P38" s="33"/>
      <c r="Q38" s="33"/>
      <c r="R38" s="33"/>
      <c r="S38" s="33"/>
      <c r="T38" s="34"/>
    </row>
    <row r="39" spans="5:20" x14ac:dyDescent="0.25">
      <c r="E39">
        <v>33</v>
      </c>
      <c r="F39">
        <v>2.061E-2</v>
      </c>
      <c r="G39">
        <v>4.2500000000000003E-2</v>
      </c>
      <c r="I39" s="20" t="s">
        <v>93</v>
      </c>
      <c r="J39" s="20" t="s">
        <v>147</v>
      </c>
      <c r="L39" s="29"/>
      <c r="M39" s="30"/>
      <c r="N39" s="31"/>
      <c r="O39" s="32"/>
      <c r="P39" s="33"/>
      <c r="Q39" s="33"/>
      <c r="R39" s="33"/>
      <c r="S39" s="33"/>
      <c r="T39" s="34"/>
    </row>
    <row r="40" spans="5:20" x14ac:dyDescent="0.25">
      <c r="E40">
        <v>34</v>
      </c>
      <c r="F40">
        <v>2.0140000000000002E-2</v>
      </c>
      <c r="G40">
        <v>4.1000000000000002E-2</v>
      </c>
      <c r="I40" s="20" t="s">
        <v>148</v>
      </c>
      <c r="J40" s="20" t="s">
        <v>149</v>
      </c>
      <c r="L40" s="29"/>
      <c r="M40" s="30"/>
      <c r="N40" s="31"/>
      <c r="O40" s="32"/>
      <c r="P40" s="33"/>
      <c r="Q40" s="33"/>
      <c r="R40" s="33"/>
      <c r="S40" s="33"/>
      <c r="T40" s="34"/>
    </row>
    <row r="41" spans="5:20" x14ac:dyDescent="0.25">
      <c r="E41">
        <v>35</v>
      </c>
      <c r="F41">
        <v>1.968E-2</v>
      </c>
      <c r="G41">
        <v>3.9600000000000003E-2</v>
      </c>
      <c r="I41" s="20" t="s">
        <v>82</v>
      </c>
      <c r="J41" s="20" t="s">
        <v>150</v>
      </c>
      <c r="L41" s="29"/>
      <c r="M41" s="30"/>
      <c r="N41" s="31"/>
      <c r="O41" s="32"/>
      <c r="P41" s="33"/>
      <c r="Q41" s="33"/>
      <c r="R41" s="33"/>
      <c r="S41" s="33"/>
      <c r="T41" s="34"/>
    </row>
    <row r="42" spans="5:20" x14ac:dyDescent="0.25">
      <c r="E42">
        <v>36</v>
      </c>
      <c r="F42">
        <v>1.925E-2</v>
      </c>
      <c r="G42">
        <v>3.8399999999999997E-2</v>
      </c>
      <c r="I42" s="20" t="s">
        <v>151</v>
      </c>
      <c r="J42" s="20" t="s">
        <v>152</v>
      </c>
      <c r="L42" s="29"/>
      <c r="M42" s="30"/>
      <c r="N42" s="31"/>
      <c r="O42" s="32"/>
      <c r="P42" s="33"/>
      <c r="Q42" s="33"/>
      <c r="R42" s="33"/>
      <c r="S42" s="33"/>
      <c r="T42" s="34"/>
    </row>
    <row r="43" spans="5:20" x14ac:dyDescent="0.25">
      <c r="E43">
        <v>37</v>
      </c>
      <c r="F43">
        <v>1.883E-2</v>
      </c>
      <c r="G43">
        <v>3.7199999999999997E-2</v>
      </c>
      <c r="I43" s="20" t="s">
        <v>153</v>
      </c>
      <c r="J43" s="20" t="s">
        <v>154</v>
      </c>
      <c r="L43" s="29"/>
      <c r="M43" s="30"/>
      <c r="N43" s="31"/>
      <c r="O43" s="32"/>
      <c r="P43" s="33"/>
      <c r="Q43" s="33"/>
      <c r="R43" s="33"/>
      <c r="S43" s="33"/>
      <c r="T43" s="34"/>
    </row>
    <row r="44" spans="5:20" x14ac:dyDescent="0.25">
      <c r="E44">
        <v>38</v>
      </c>
      <c r="F44">
        <v>1.8429999999999998E-2</v>
      </c>
      <c r="G44">
        <v>3.5999999999999997E-2</v>
      </c>
      <c r="I44" s="20" t="s">
        <v>155</v>
      </c>
      <c r="J44" s="20" t="s">
        <v>83</v>
      </c>
      <c r="L44" s="29"/>
      <c r="M44" s="30"/>
      <c r="N44" s="31"/>
      <c r="O44" s="32"/>
      <c r="P44" s="33"/>
      <c r="Q44" s="33"/>
      <c r="R44" s="33"/>
      <c r="S44" s="33"/>
      <c r="T44" s="34"/>
    </row>
    <row r="45" spans="5:20" x14ac:dyDescent="0.25">
      <c r="E45">
        <v>39</v>
      </c>
      <c r="F45">
        <v>1.805E-2</v>
      </c>
      <c r="G45">
        <v>3.5000000000000003E-2</v>
      </c>
      <c r="I45" s="20" t="s">
        <v>155</v>
      </c>
      <c r="J45" s="20" t="s">
        <v>108</v>
      </c>
      <c r="L45" s="29"/>
      <c r="M45" s="30"/>
      <c r="N45" s="31"/>
      <c r="O45" s="32"/>
      <c r="P45" s="33"/>
      <c r="Q45" s="33"/>
      <c r="R45" s="33"/>
      <c r="S45" s="33"/>
      <c r="T45" s="34"/>
    </row>
    <row r="46" spans="5:20" x14ac:dyDescent="0.25">
      <c r="E46">
        <v>40</v>
      </c>
      <c r="F46">
        <v>1.7690000000000001E-2</v>
      </c>
      <c r="G46">
        <v>3.3959999999999997E-2</v>
      </c>
      <c r="I46" s="20" t="s">
        <v>156</v>
      </c>
      <c r="J46" s="20" t="s">
        <v>157</v>
      </c>
      <c r="L46" s="29"/>
      <c r="M46" s="30"/>
      <c r="N46" s="31"/>
      <c r="O46" s="32"/>
      <c r="P46" s="33"/>
      <c r="Q46" s="33"/>
      <c r="R46" s="33"/>
      <c r="S46" s="33"/>
      <c r="T46" s="34"/>
    </row>
    <row r="47" spans="5:20" x14ac:dyDescent="0.25">
      <c r="E47">
        <v>41</v>
      </c>
      <c r="F47">
        <v>1.7330000000000002E-2</v>
      </c>
      <c r="G47">
        <v>3.3000000000000002E-2</v>
      </c>
      <c r="I47" s="20" t="s">
        <v>143</v>
      </c>
      <c r="J47" s="20" t="s">
        <v>152</v>
      </c>
      <c r="L47" s="29"/>
      <c r="M47" s="30"/>
      <c r="N47" s="31"/>
      <c r="O47" s="32"/>
      <c r="P47" s="33"/>
      <c r="Q47" s="33"/>
      <c r="R47" s="33"/>
      <c r="S47" s="33"/>
      <c r="T47" s="34"/>
    </row>
    <row r="48" spans="5:20" x14ac:dyDescent="0.25">
      <c r="E48">
        <v>42</v>
      </c>
      <c r="F48">
        <v>1.7000000000000001E-2</v>
      </c>
      <c r="G48">
        <v>3.2099999999999997E-2</v>
      </c>
      <c r="I48" s="20" t="s">
        <v>142</v>
      </c>
      <c r="J48" s="20" t="s">
        <v>158</v>
      </c>
      <c r="L48" s="29"/>
      <c r="M48" s="30"/>
      <c r="N48" s="31"/>
      <c r="O48" s="32"/>
      <c r="P48" s="33"/>
      <c r="Q48" s="33"/>
      <c r="R48" s="33"/>
      <c r="S48" s="33"/>
      <c r="T48" s="34"/>
    </row>
    <row r="49" spans="5:20" x14ac:dyDescent="0.25">
      <c r="E49">
        <v>43</v>
      </c>
      <c r="F49">
        <v>1.668E-2</v>
      </c>
      <c r="G49">
        <v>3.124E-2</v>
      </c>
      <c r="I49" s="20" t="s">
        <v>159</v>
      </c>
      <c r="J49" s="20" t="s">
        <v>123</v>
      </c>
      <c r="L49" s="29"/>
      <c r="M49" s="30"/>
      <c r="N49" s="31"/>
      <c r="O49" s="32"/>
      <c r="P49" s="33"/>
      <c r="Q49" s="33"/>
      <c r="R49" s="33"/>
      <c r="S49" s="33"/>
      <c r="T49" s="34"/>
    </row>
    <row r="50" spans="5:20" x14ac:dyDescent="0.25">
      <c r="E50">
        <v>44</v>
      </c>
      <c r="F50">
        <v>1.636E-2</v>
      </c>
      <c r="G50">
        <v>3.0429999999999999E-2</v>
      </c>
      <c r="I50" s="20" t="s">
        <v>160</v>
      </c>
      <c r="J50" s="20" t="s">
        <v>157</v>
      </c>
      <c r="L50" s="29"/>
      <c r="M50" s="30"/>
      <c r="N50" s="31"/>
      <c r="O50" s="32"/>
      <c r="P50" s="33"/>
      <c r="Q50" s="33"/>
      <c r="R50" s="33"/>
      <c r="S50" s="33"/>
      <c r="T50" s="34"/>
    </row>
    <row r="51" spans="5:20" x14ac:dyDescent="0.25">
      <c r="E51">
        <v>45</v>
      </c>
      <c r="F51">
        <v>1.6060000000000001E-2</v>
      </c>
      <c r="G51">
        <v>2.9659999999999999E-2</v>
      </c>
      <c r="I51" s="20" t="s">
        <v>160</v>
      </c>
      <c r="J51" s="20" t="s">
        <v>146</v>
      </c>
      <c r="L51" s="29"/>
      <c r="M51" s="30"/>
      <c r="N51" s="31"/>
      <c r="O51" s="32"/>
      <c r="P51" s="33"/>
      <c r="Q51" s="33"/>
      <c r="R51" s="33"/>
      <c r="S51" s="33"/>
      <c r="T51" s="34"/>
    </row>
    <row r="52" spans="5:20" x14ac:dyDescent="0.25">
      <c r="E52">
        <v>46</v>
      </c>
      <c r="F52">
        <v>1.5779999999999999E-2</v>
      </c>
      <c r="G52">
        <v>2.8920000000000001E-2</v>
      </c>
      <c r="I52" s="20" t="s">
        <v>161</v>
      </c>
      <c r="J52" s="20" t="s">
        <v>162</v>
      </c>
      <c r="L52" s="29"/>
      <c r="M52" s="30"/>
      <c r="N52" s="31"/>
      <c r="O52" s="32"/>
      <c r="P52" s="33"/>
      <c r="Q52" s="33"/>
      <c r="R52" s="33"/>
      <c r="S52" s="33"/>
      <c r="T52" s="34"/>
    </row>
    <row r="53" spans="5:20" ht="15.75" thickBot="1" x14ac:dyDescent="0.3">
      <c r="E53">
        <v>47</v>
      </c>
      <c r="F53">
        <v>1.55E-2</v>
      </c>
      <c r="G53">
        <v>2.8219999999999999E-2</v>
      </c>
      <c r="I53" s="20" t="s">
        <v>163</v>
      </c>
      <c r="J53" s="20" t="s">
        <v>112</v>
      </c>
      <c r="L53" s="44"/>
      <c r="M53" s="45"/>
      <c r="N53" s="46"/>
      <c r="O53" s="47"/>
      <c r="P53" s="48"/>
      <c r="Q53" s="48"/>
      <c r="R53" s="48"/>
      <c r="S53" s="33"/>
      <c r="T53" s="49"/>
    </row>
    <row r="54" spans="5:20" x14ac:dyDescent="0.25">
      <c r="E54">
        <v>48</v>
      </c>
      <c r="F54">
        <v>1.523E-2</v>
      </c>
      <c r="G54">
        <v>2.7550000000000002E-2</v>
      </c>
      <c r="I54" s="20" t="s">
        <v>92</v>
      </c>
      <c r="J54" s="20" t="s">
        <v>164</v>
      </c>
      <c r="L54" s="50"/>
      <c r="M54" s="50"/>
      <c r="N54" s="50"/>
      <c r="O54" s="50"/>
      <c r="P54" s="50"/>
      <c r="Q54" s="50"/>
      <c r="R54" s="50"/>
      <c r="S54" s="33"/>
      <c r="T54" s="50"/>
    </row>
    <row r="55" spans="5:20" x14ac:dyDescent="0.25">
      <c r="E55">
        <v>49</v>
      </c>
      <c r="F55">
        <v>1.498E-2</v>
      </c>
      <c r="G55">
        <v>2.691E-2</v>
      </c>
      <c r="I55" s="20" t="s">
        <v>165</v>
      </c>
      <c r="J55" s="20" t="s">
        <v>166</v>
      </c>
      <c r="L55" s="50"/>
      <c r="M55" s="50"/>
      <c r="N55" s="50"/>
      <c r="O55" s="50"/>
      <c r="P55" s="50"/>
      <c r="Q55" s="50"/>
      <c r="R55" s="50"/>
      <c r="S55" s="33"/>
      <c r="T55" s="50"/>
    </row>
    <row r="56" spans="5:20" x14ac:dyDescent="0.25">
      <c r="E56">
        <v>50</v>
      </c>
      <c r="F56">
        <v>1.4749999999999999E-2</v>
      </c>
      <c r="G56">
        <v>2.6249999999999999E-2</v>
      </c>
      <c r="I56" s="20" t="s">
        <v>142</v>
      </c>
      <c r="J56" s="20" t="s">
        <v>167</v>
      </c>
      <c r="L56" s="50"/>
      <c r="M56" s="50"/>
      <c r="N56" s="50"/>
      <c r="O56" s="50"/>
      <c r="P56" s="50"/>
      <c r="Q56" s="50"/>
      <c r="R56" s="50"/>
      <c r="S56" s="33"/>
      <c r="T56" s="50"/>
    </row>
    <row r="57" spans="5:20" x14ac:dyDescent="0.25">
      <c r="E57">
        <v>51</v>
      </c>
      <c r="F57">
        <v>67.053760999999994</v>
      </c>
      <c r="G57">
        <v>38.786239000000002</v>
      </c>
      <c r="I57" s="20" t="s">
        <v>168</v>
      </c>
      <c r="J57" s="20" t="s">
        <v>169</v>
      </c>
      <c r="L57" s="50"/>
      <c r="M57" s="50"/>
      <c r="N57" s="50"/>
      <c r="O57" s="50"/>
      <c r="P57" s="50"/>
      <c r="Q57" s="50"/>
      <c r="R57" s="50"/>
      <c r="S57" s="33"/>
      <c r="T57" s="50"/>
    </row>
    <row r="58" spans="5:20" x14ac:dyDescent="0.25">
      <c r="E58">
        <v>52</v>
      </c>
      <c r="F58">
        <v>68.189015380000001</v>
      </c>
      <c r="G58">
        <v>39.650984620000003</v>
      </c>
      <c r="I58" s="20" t="s">
        <v>170</v>
      </c>
      <c r="J58" s="20" t="s">
        <v>171</v>
      </c>
      <c r="L58" s="50"/>
      <c r="M58" s="50"/>
      <c r="N58" s="50"/>
      <c r="O58" s="50"/>
      <c r="P58" s="50"/>
      <c r="Q58" s="50"/>
      <c r="R58" s="50"/>
      <c r="S58" s="33"/>
      <c r="T58" s="50"/>
    </row>
    <row r="59" spans="5:20" x14ac:dyDescent="0.25">
      <c r="E59">
        <v>53</v>
      </c>
      <c r="F59">
        <v>69.322999690000003</v>
      </c>
      <c r="G59">
        <v>40.51700031</v>
      </c>
      <c r="I59" s="20" t="s">
        <v>172</v>
      </c>
      <c r="J59" s="20" t="s">
        <v>173</v>
      </c>
      <c r="L59" s="50"/>
      <c r="M59" s="50"/>
      <c r="N59" s="50"/>
      <c r="O59" s="50"/>
      <c r="P59" s="50"/>
      <c r="Q59" s="50"/>
      <c r="R59" s="50"/>
      <c r="S59" s="33"/>
      <c r="T59" s="50"/>
    </row>
    <row r="60" spans="5:20" x14ac:dyDescent="0.25">
      <c r="E60">
        <v>54</v>
      </c>
      <c r="F60">
        <v>70.455749030000007</v>
      </c>
      <c r="G60">
        <v>41.384250969999997</v>
      </c>
      <c r="I60" s="20" t="s">
        <v>174</v>
      </c>
      <c r="J60" s="20" t="s">
        <v>100</v>
      </c>
      <c r="L60" s="50"/>
      <c r="M60" s="50"/>
      <c r="N60" s="50"/>
      <c r="O60" s="50"/>
      <c r="P60" s="50"/>
      <c r="Q60" s="50"/>
      <c r="R60" s="50"/>
      <c r="S60" s="33"/>
      <c r="T60" s="50"/>
    </row>
    <row r="61" spans="5:20" x14ac:dyDescent="0.25">
      <c r="E61">
        <v>55</v>
      </c>
      <c r="F61">
        <v>71.587296960000003</v>
      </c>
      <c r="G61">
        <v>42.25270304</v>
      </c>
      <c r="I61" s="20" t="s">
        <v>117</v>
      </c>
      <c r="J61" s="20" t="s">
        <v>175</v>
      </c>
      <c r="L61" s="50"/>
      <c r="M61" s="50"/>
      <c r="N61" s="50"/>
      <c r="O61" s="50"/>
      <c r="P61" s="50"/>
      <c r="Q61" s="50"/>
      <c r="R61" s="50"/>
      <c r="S61" s="33"/>
      <c r="T61" s="50"/>
    </row>
    <row r="62" spans="5:20" x14ac:dyDescent="0.25">
      <c r="E62">
        <v>56</v>
      </c>
      <c r="F62">
        <v>72.717675490000005</v>
      </c>
      <c r="G62">
        <v>43.122324509999999</v>
      </c>
      <c r="I62" s="20" t="s">
        <v>176</v>
      </c>
      <c r="J62" s="20" t="s">
        <v>131</v>
      </c>
      <c r="L62" s="50"/>
      <c r="M62" s="50"/>
      <c r="N62" s="50"/>
      <c r="O62" s="50"/>
      <c r="P62" s="50"/>
      <c r="Q62" s="50"/>
      <c r="R62" s="50"/>
      <c r="S62" s="33"/>
      <c r="T62" s="50"/>
    </row>
    <row r="63" spans="5:20" x14ac:dyDescent="0.25">
      <c r="E63">
        <v>57</v>
      </c>
      <c r="F63">
        <v>73.846915289999998</v>
      </c>
      <c r="G63">
        <v>43.993084709999998</v>
      </c>
      <c r="I63" s="20" t="s">
        <v>177</v>
      </c>
      <c r="J63" s="20" t="s">
        <v>178</v>
      </c>
      <c r="L63" s="50"/>
      <c r="M63" s="50"/>
      <c r="N63" s="50"/>
      <c r="O63" s="50"/>
      <c r="P63" s="50"/>
      <c r="Q63" s="50"/>
      <c r="R63" s="50"/>
      <c r="S63" s="33"/>
      <c r="T63" s="50"/>
    </row>
    <row r="64" spans="5:20" x14ac:dyDescent="0.25">
      <c r="E64">
        <v>58</v>
      </c>
      <c r="F64">
        <v>74.97504567</v>
      </c>
      <c r="G64">
        <v>44.864954330000003</v>
      </c>
      <c r="I64" s="20" t="s">
        <v>105</v>
      </c>
      <c r="J64" s="20" t="s">
        <v>179</v>
      </c>
      <c r="L64" s="50"/>
      <c r="M64" s="50"/>
      <c r="N64" s="50"/>
      <c r="O64" s="50"/>
      <c r="P64" s="50"/>
      <c r="Q64" s="50"/>
      <c r="R64" s="50"/>
      <c r="S64" s="33"/>
      <c r="T64" s="50"/>
    </row>
    <row r="65" spans="5:20" x14ac:dyDescent="0.25">
      <c r="E65">
        <v>59</v>
      </c>
      <c r="F65">
        <v>76.102094719999997</v>
      </c>
      <c r="G65">
        <v>45.73790528</v>
      </c>
      <c r="I65" s="20" t="s">
        <v>180</v>
      </c>
      <c r="J65" s="20" t="s">
        <v>112</v>
      </c>
      <c r="L65" s="50"/>
      <c r="M65" s="50"/>
      <c r="N65" s="50"/>
      <c r="O65" s="50"/>
      <c r="P65" s="50"/>
      <c r="Q65" s="50"/>
      <c r="R65" s="50"/>
      <c r="S65" s="50"/>
      <c r="T65" s="50"/>
    </row>
    <row r="66" spans="5:20" x14ac:dyDescent="0.25">
      <c r="E66">
        <v>60</v>
      </c>
      <c r="F66">
        <v>77.228089359999998</v>
      </c>
      <c r="G66">
        <v>46.611910639999998</v>
      </c>
      <c r="I66" s="20" t="s">
        <v>167</v>
      </c>
      <c r="J66" s="20" t="s">
        <v>181</v>
      </c>
      <c r="L66" s="50"/>
      <c r="M66" s="50"/>
      <c r="N66" s="50"/>
      <c r="O66" s="50"/>
      <c r="P66" s="50"/>
      <c r="Q66" s="50"/>
      <c r="R66" s="50"/>
      <c r="S66" s="50"/>
      <c r="T66" s="50"/>
    </row>
    <row r="67" spans="5:20" x14ac:dyDescent="0.25">
      <c r="E67">
        <v>61</v>
      </c>
      <c r="F67">
        <v>78.353055429999998</v>
      </c>
      <c r="G67">
        <v>47.486944569999999</v>
      </c>
      <c r="I67" s="20" t="s">
        <v>143</v>
      </c>
      <c r="J67" s="20" t="s">
        <v>143</v>
      </c>
      <c r="L67" s="50"/>
      <c r="M67" s="50"/>
      <c r="N67" s="50"/>
      <c r="O67" s="50"/>
      <c r="P67" s="50"/>
      <c r="Q67" s="50"/>
      <c r="R67" s="50"/>
      <c r="S67" s="50"/>
      <c r="T67" s="50"/>
    </row>
    <row r="68" spans="5:20" x14ac:dyDescent="0.25">
      <c r="E68">
        <v>62</v>
      </c>
      <c r="F68">
        <v>79.477017709999998</v>
      </c>
      <c r="G68">
        <v>48.362982289999998</v>
      </c>
      <c r="I68" s="20" t="s">
        <v>182</v>
      </c>
      <c r="J68" s="20" t="s">
        <v>162</v>
      </c>
      <c r="L68" s="50"/>
      <c r="M68" s="50"/>
      <c r="N68" s="50"/>
      <c r="O68" s="50"/>
      <c r="P68" s="50"/>
      <c r="Q68" s="50"/>
      <c r="R68" s="50"/>
      <c r="S68" s="50"/>
      <c r="T68" s="50"/>
    </row>
    <row r="69" spans="5:20" x14ac:dyDescent="0.25">
      <c r="E69">
        <v>63</v>
      </c>
      <c r="F69">
        <v>80.599999999999994</v>
      </c>
      <c r="G69">
        <v>49.24</v>
      </c>
      <c r="I69" s="20" t="s">
        <v>180</v>
      </c>
      <c r="J69" s="20" t="s">
        <v>183</v>
      </c>
      <c r="L69" s="50"/>
      <c r="M69" s="50"/>
      <c r="N69" s="50"/>
      <c r="O69" s="50"/>
      <c r="P69" s="50"/>
      <c r="Q69" s="50"/>
      <c r="R69" s="50"/>
      <c r="S69" s="50"/>
      <c r="T69" s="50"/>
    </row>
    <row r="70" spans="5:20" x14ac:dyDescent="0.25">
      <c r="E70">
        <v>64</v>
      </c>
      <c r="F70">
        <v>81.722025189999997</v>
      </c>
      <c r="G70">
        <v>50.11797481</v>
      </c>
      <c r="I70" s="20" t="s">
        <v>111</v>
      </c>
      <c r="J70" s="20" t="s">
        <v>132</v>
      </c>
      <c r="L70" s="50"/>
      <c r="M70" s="50"/>
      <c r="N70" s="50"/>
      <c r="O70" s="50"/>
      <c r="P70" s="50"/>
      <c r="Q70" s="50"/>
      <c r="R70" s="50"/>
      <c r="S70" s="50"/>
      <c r="T70" s="50"/>
    </row>
    <row r="71" spans="5:20" x14ac:dyDescent="0.25">
      <c r="E71">
        <v>65</v>
      </c>
      <c r="F71">
        <v>82.843115269999998</v>
      </c>
      <c r="G71">
        <v>50.996884729999998</v>
      </c>
      <c r="I71" s="20" t="s">
        <v>184</v>
      </c>
      <c r="J71" s="20" t="s">
        <v>146</v>
      </c>
      <c r="L71" s="50"/>
      <c r="M71" s="50"/>
      <c r="N71" s="50"/>
      <c r="O71" s="50"/>
      <c r="P71" s="50"/>
      <c r="Q71" s="50"/>
      <c r="R71" s="50"/>
      <c r="S71" s="50"/>
      <c r="T71" s="50"/>
    </row>
    <row r="72" spans="5:20" x14ac:dyDescent="0.25">
      <c r="E72">
        <v>66</v>
      </c>
      <c r="F72">
        <v>83.963291429999998</v>
      </c>
      <c r="G72">
        <v>51.876708569999998</v>
      </c>
      <c r="I72" s="20" t="s">
        <v>185</v>
      </c>
      <c r="J72" s="20" t="s">
        <v>148</v>
      </c>
      <c r="L72" s="50"/>
      <c r="M72" s="50"/>
      <c r="N72" s="50"/>
      <c r="O72" s="50"/>
      <c r="P72" s="50"/>
      <c r="Q72" s="50"/>
      <c r="R72" s="50"/>
      <c r="S72" s="50"/>
      <c r="T72" s="50"/>
    </row>
    <row r="73" spans="5:20" x14ac:dyDescent="0.25">
      <c r="E73">
        <v>67</v>
      </c>
      <c r="F73">
        <v>85.082574050000005</v>
      </c>
      <c r="G73">
        <v>52.757425949999998</v>
      </c>
      <c r="I73" s="20" t="s">
        <v>167</v>
      </c>
      <c r="J73" s="20" t="s">
        <v>88</v>
      </c>
      <c r="L73" s="50"/>
      <c r="M73" s="50"/>
      <c r="N73" s="50"/>
      <c r="O73" s="50"/>
      <c r="P73" s="50"/>
      <c r="Q73" s="50"/>
      <c r="R73" s="50"/>
      <c r="S73" s="50"/>
      <c r="T73" s="50"/>
    </row>
    <row r="74" spans="5:20" x14ac:dyDescent="0.25">
      <c r="E74">
        <v>68</v>
      </c>
      <c r="F74">
        <v>86.200982769999996</v>
      </c>
      <c r="G74">
        <v>53.63901723</v>
      </c>
      <c r="I74" s="20" t="s">
        <v>186</v>
      </c>
      <c r="J74" s="20" t="s">
        <v>187</v>
      </c>
      <c r="L74" s="50"/>
      <c r="M74" s="50"/>
      <c r="N74" s="50"/>
      <c r="O74" s="50"/>
      <c r="P74" s="50"/>
      <c r="Q74" s="50"/>
      <c r="R74" s="50"/>
      <c r="S74" s="50"/>
      <c r="T74" s="50"/>
    </row>
    <row r="75" spans="5:20" x14ac:dyDescent="0.25">
      <c r="E75">
        <v>69</v>
      </c>
      <c r="F75">
        <v>87.318536519999995</v>
      </c>
      <c r="G75">
        <v>54.521463480000001</v>
      </c>
      <c r="I75" s="20" t="s">
        <v>188</v>
      </c>
      <c r="J75" s="20" t="s">
        <v>189</v>
      </c>
      <c r="L75" s="50"/>
      <c r="M75" s="50"/>
      <c r="N75" s="50"/>
      <c r="O75" s="50"/>
      <c r="P75" s="50"/>
      <c r="Q75" s="50"/>
      <c r="R75" s="50"/>
      <c r="S75" s="50"/>
      <c r="T75" s="50"/>
    </row>
    <row r="76" spans="5:20" x14ac:dyDescent="0.25">
      <c r="E76">
        <v>70</v>
      </c>
      <c r="F76">
        <v>88.435253560000007</v>
      </c>
      <c r="G76">
        <v>55.404746439999997</v>
      </c>
      <c r="I76" s="20" t="s">
        <v>112</v>
      </c>
      <c r="J76" s="20" t="s">
        <v>101</v>
      </c>
      <c r="L76" s="50"/>
      <c r="M76" s="50"/>
      <c r="N76" s="50"/>
      <c r="O76" s="50"/>
      <c r="P76" s="50"/>
      <c r="Q76" s="50"/>
      <c r="R76" s="50"/>
      <c r="S76" s="50"/>
      <c r="T76" s="50"/>
    </row>
    <row r="77" spans="5:20" x14ac:dyDescent="0.25">
      <c r="E77">
        <v>71</v>
      </c>
      <c r="F77">
        <v>89.551151489999995</v>
      </c>
      <c r="G77">
        <v>56.288848510000001</v>
      </c>
      <c r="I77" s="20" t="s">
        <v>190</v>
      </c>
      <c r="J77" s="20" t="s">
        <v>191</v>
      </c>
      <c r="L77" s="50"/>
      <c r="M77" s="50"/>
      <c r="N77" s="50"/>
      <c r="O77" s="50"/>
      <c r="P77" s="50"/>
      <c r="Q77" s="50"/>
      <c r="R77" s="50"/>
      <c r="S77" s="50"/>
      <c r="T77" s="50"/>
    </row>
    <row r="78" spans="5:20" x14ac:dyDescent="0.25">
      <c r="E78">
        <v>72</v>
      </c>
      <c r="F78">
        <v>90.666247339999998</v>
      </c>
      <c r="G78">
        <v>57.173752659999998</v>
      </c>
      <c r="I78" s="20" t="s">
        <v>192</v>
      </c>
      <c r="J78" s="20" t="s">
        <v>170</v>
      </c>
      <c r="L78" s="50"/>
      <c r="M78" s="50"/>
      <c r="N78" s="50"/>
      <c r="O78" s="50"/>
      <c r="P78" s="50"/>
      <c r="Q78" s="50"/>
      <c r="R78" s="50"/>
      <c r="S78" s="50"/>
      <c r="T78" s="50"/>
    </row>
    <row r="79" spans="5:20" x14ac:dyDescent="0.25">
      <c r="E79">
        <v>73</v>
      </c>
      <c r="F79">
        <v>91.780557520000002</v>
      </c>
      <c r="G79">
        <v>58.059442480000001</v>
      </c>
      <c r="I79" s="20" t="s">
        <v>83</v>
      </c>
      <c r="J79" s="20" t="s">
        <v>193</v>
      </c>
      <c r="L79" s="50"/>
      <c r="M79" s="50"/>
      <c r="N79" s="50"/>
      <c r="O79" s="50"/>
      <c r="P79" s="50"/>
      <c r="Q79" s="50"/>
      <c r="R79" s="50"/>
      <c r="S79" s="50"/>
      <c r="T79" s="50"/>
    </row>
    <row r="80" spans="5:20" x14ac:dyDescent="0.25">
      <c r="E80">
        <v>74</v>
      </c>
      <c r="F80">
        <v>92.894097909999999</v>
      </c>
      <c r="G80">
        <v>58.945902089999997</v>
      </c>
      <c r="I80" s="20" t="s">
        <v>194</v>
      </c>
      <c r="J80" s="20" t="s">
        <v>100</v>
      </c>
      <c r="L80" s="50"/>
      <c r="M80" s="50"/>
      <c r="N80" s="50"/>
      <c r="O80" s="50"/>
      <c r="P80" s="50"/>
      <c r="Q80" s="50"/>
      <c r="R80" s="50"/>
      <c r="S80" s="50"/>
      <c r="T80" s="50"/>
    </row>
    <row r="81" spans="5:20" x14ac:dyDescent="0.25">
      <c r="E81">
        <v>75</v>
      </c>
      <c r="F81">
        <v>94.006883860000002</v>
      </c>
      <c r="G81">
        <v>59.833116140000001</v>
      </c>
      <c r="I81" s="20" t="s">
        <v>195</v>
      </c>
      <c r="J81" s="20" t="s">
        <v>137</v>
      </c>
      <c r="L81" s="50"/>
      <c r="M81" s="50"/>
      <c r="N81" s="50"/>
      <c r="O81" s="50"/>
      <c r="P81" s="50"/>
      <c r="Q81" s="50"/>
      <c r="R81" s="50"/>
      <c r="S81" s="50"/>
      <c r="T81" s="50"/>
    </row>
    <row r="82" spans="5:20" x14ac:dyDescent="0.25">
      <c r="E82">
        <v>76</v>
      </c>
      <c r="F82">
        <v>95.118930199999994</v>
      </c>
      <c r="G82">
        <v>60.721069800000002</v>
      </c>
      <c r="I82" s="20" t="s">
        <v>196</v>
      </c>
      <c r="J82" s="20" t="s">
        <v>101</v>
      </c>
      <c r="L82" s="50"/>
      <c r="M82" s="50"/>
      <c r="N82" s="50"/>
      <c r="O82" s="50"/>
      <c r="P82" s="50"/>
      <c r="Q82" s="50"/>
      <c r="R82" s="50"/>
      <c r="S82" s="50"/>
      <c r="T82" s="50"/>
    </row>
    <row r="83" spans="5:20" x14ac:dyDescent="0.25">
      <c r="E83">
        <v>77</v>
      </c>
      <c r="F83">
        <v>96.230251300000006</v>
      </c>
      <c r="G83">
        <v>61.609748699999997</v>
      </c>
      <c r="I83" s="20" t="s">
        <v>197</v>
      </c>
      <c r="J83" s="20" t="s">
        <v>198</v>
      </c>
      <c r="L83" s="50"/>
      <c r="M83" s="50"/>
      <c r="N83" s="50"/>
      <c r="O83" s="50"/>
      <c r="P83" s="50"/>
      <c r="Q83" s="50"/>
      <c r="R83" s="50"/>
      <c r="S83" s="50"/>
      <c r="T83" s="50"/>
    </row>
    <row r="84" spans="5:20" x14ac:dyDescent="0.25">
      <c r="E84">
        <v>78</v>
      </c>
      <c r="F84">
        <v>97.340861059999995</v>
      </c>
      <c r="G84">
        <v>62.499138940000002</v>
      </c>
      <c r="I84" s="20" t="s">
        <v>123</v>
      </c>
      <c r="J84" s="20" t="s">
        <v>194</v>
      </c>
      <c r="L84" s="50"/>
      <c r="M84" s="50"/>
      <c r="N84" s="50"/>
      <c r="O84" s="50"/>
      <c r="P84" s="50"/>
      <c r="Q84" s="50"/>
      <c r="R84" s="50"/>
      <c r="S84" s="50"/>
      <c r="T84" s="50"/>
    </row>
    <row r="85" spans="5:20" x14ac:dyDescent="0.25">
      <c r="E85">
        <v>79</v>
      </c>
      <c r="F85">
        <v>98.450772939999993</v>
      </c>
      <c r="G85">
        <v>63.389227060000003</v>
      </c>
      <c r="I85" s="20" t="s">
        <v>185</v>
      </c>
      <c r="J85" s="20" t="s">
        <v>177</v>
      </c>
      <c r="L85" s="50"/>
      <c r="M85" s="50"/>
      <c r="N85" s="50"/>
      <c r="O85" s="50"/>
      <c r="P85" s="50"/>
      <c r="Q85" s="50"/>
      <c r="R85" s="50"/>
      <c r="S85" s="50"/>
      <c r="T85" s="50"/>
    </row>
    <row r="86" spans="5:20" x14ac:dyDescent="0.25">
      <c r="E86">
        <v>80</v>
      </c>
      <c r="F86">
        <v>99.56</v>
      </c>
      <c r="G86">
        <v>64.28</v>
      </c>
      <c r="I86" s="20" t="s">
        <v>162</v>
      </c>
      <c r="J86" s="20" t="s">
        <v>177</v>
      </c>
      <c r="L86" s="50"/>
      <c r="M86" s="50"/>
      <c r="N86" s="50"/>
      <c r="O86" s="50"/>
      <c r="P86" s="50"/>
      <c r="Q86" s="50"/>
      <c r="R86" s="50"/>
      <c r="S86" s="50"/>
      <c r="T86" s="50"/>
    </row>
    <row r="87" spans="5:20" x14ac:dyDescent="0.25">
      <c r="E87">
        <v>81</v>
      </c>
      <c r="F87">
        <v>100.6685549</v>
      </c>
      <c r="G87">
        <v>65.171445129999995</v>
      </c>
      <c r="I87" s="20" t="s">
        <v>188</v>
      </c>
      <c r="J87" s="20" t="s">
        <v>86</v>
      </c>
      <c r="L87" s="50"/>
      <c r="M87" s="50"/>
      <c r="N87" s="50"/>
      <c r="O87" s="50"/>
      <c r="P87" s="50"/>
      <c r="Q87" s="50"/>
      <c r="R87" s="50"/>
      <c r="S87" s="50"/>
      <c r="T87" s="50"/>
    </row>
    <row r="88" spans="5:20" x14ac:dyDescent="0.25">
      <c r="E88">
        <v>82</v>
      </c>
      <c r="F88">
        <v>101.77644979999999</v>
      </c>
      <c r="G88">
        <v>66.063550179999993</v>
      </c>
      <c r="I88" s="20" t="s">
        <v>167</v>
      </c>
      <c r="J88" s="20" t="s">
        <v>199</v>
      </c>
      <c r="L88" s="50"/>
      <c r="M88" s="50"/>
      <c r="N88" s="50"/>
      <c r="O88" s="50"/>
      <c r="P88" s="50"/>
      <c r="Q88" s="50"/>
      <c r="R88" s="50"/>
      <c r="S88" s="50"/>
      <c r="T88" s="50"/>
    </row>
    <row r="89" spans="5:20" x14ac:dyDescent="0.25">
      <c r="E89">
        <v>83</v>
      </c>
      <c r="F89">
        <v>102.8836967</v>
      </c>
      <c r="G89">
        <v>66.95630328</v>
      </c>
      <c r="I89" s="20" t="s">
        <v>200</v>
      </c>
      <c r="J89" s="20" t="s">
        <v>201</v>
      </c>
      <c r="L89" s="50"/>
      <c r="M89" s="50"/>
      <c r="N89" s="50"/>
      <c r="O89" s="50"/>
      <c r="P89" s="50"/>
      <c r="Q89" s="50"/>
      <c r="R89" s="50"/>
      <c r="S89" s="50"/>
      <c r="T89" s="50"/>
    </row>
    <row r="90" spans="5:20" x14ac:dyDescent="0.25">
      <c r="E90">
        <v>84</v>
      </c>
      <c r="F90">
        <v>103.9903071</v>
      </c>
      <c r="G90">
        <v>67.849692860000005</v>
      </c>
      <c r="I90" s="20" t="s">
        <v>202</v>
      </c>
      <c r="J90" s="20" t="s">
        <v>201</v>
      </c>
      <c r="L90" s="50"/>
      <c r="M90" s="50"/>
      <c r="N90" s="50"/>
      <c r="O90" s="50"/>
      <c r="P90" s="50"/>
      <c r="Q90" s="50"/>
      <c r="R90" s="50"/>
      <c r="S90" s="50"/>
      <c r="T90" s="50"/>
    </row>
    <row r="91" spans="5:20" x14ac:dyDescent="0.25">
      <c r="E91">
        <v>85</v>
      </c>
      <c r="F91">
        <v>105.0962923</v>
      </c>
      <c r="G91">
        <v>68.743707749999999</v>
      </c>
      <c r="I91" t="s">
        <v>110</v>
      </c>
      <c r="J91" s="20" t="s">
        <v>203</v>
      </c>
    </row>
    <row r="92" spans="5:20" x14ac:dyDescent="0.25">
      <c r="E92">
        <v>86</v>
      </c>
      <c r="F92">
        <v>106.2016629</v>
      </c>
      <c r="G92">
        <v>69.638337059999998</v>
      </c>
      <c r="I92" t="s">
        <v>204</v>
      </c>
      <c r="J92" s="20" t="s">
        <v>171</v>
      </c>
    </row>
    <row r="93" spans="5:20" x14ac:dyDescent="0.25">
      <c r="E93">
        <v>87</v>
      </c>
      <c r="F93">
        <v>107.3064298</v>
      </c>
      <c r="G93">
        <v>70.533570220000001</v>
      </c>
      <c r="I93" t="s">
        <v>133</v>
      </c>
      <c r="J93" s="20" t="s">
        <v>171</v>
      </c>
    </row>
    <row r="94" spans="5:20" x14ac:dyDescent="0.25">
      <c r="E94">
        <v>88</v>
      </c>
      <c r="F94">
        <v>108.41060299999999</v>
      </c>
      <c r="G94">
        <v>71.429396980000007</v>
      </c>
      <c r="I94" t="s">
        <v>133</v>
      </c>
      <c r="J94" s="20" t="s">
        <v>161</v>
      </c>
    </row>
    <row r="95" spans="5:20" x14ac:dyDescent="0.25">
      <c r="E95">
        <v>89</v>
      </c>
      <c r="F95">
        <v>109.5141926</v>
      </c>
      <c r="G95">
        <v>72.325807359999999</v>
      </c>
      <c r="I95" t="s">
        <v>205</v>
      </c>
      <c r="J95" s="20" t="s">
        <v>206</v>
      </c>
    </row>
    <row r="96" spans="5:20" x14ac:dyDescent="0.25">
      <c r="E96">
        <v>90</v>
      </c>
      <c r="F96">
        <v>110.6172083</v>
      </c>
      <c r="G96">
        <v>73.222791650000005</v>
      </c>
      <c r="I96" t="s">
        <v>118</v>
      </c>
      <c r="J96" s="20" t="s">
        <v>206</v>
      </c>
    </row>
    <row r="97" spans="5:10" x14ac:dyDescent="0.25">
      <c r="E97">
        <v>91</v>
      </c>
      <c r="F97">
        <v>111.7196596</v>
      </c>
      <c r="G97">
        <v>74.120340429999999</v>
      </c>
      <c r="I97" t="s">
        <v>149</v>
      </c>
      <c r="J97" s="20" t="s">
        <v>127</v>
      </c>
    </row>
    <row r="98" spans="5:10" x14ac:dyDescent="0.25">
      <c r="E98">
        <v>92</v>
      </c>
      <c r="F98">
        <v>112.8215555</v>
      </c>
      <c r="G98">
        <v>75.018444509999995</v>
      </c>
      <c r="I98" t="s">
        <v>124</v>
      </c>
      <c r="J98" s="20" t="s">
        <v>207</v>
      </c>
    </row>
    <row r="99" spans="5:10" x14ac:dyDescent="0.25">
      <c r="E99">
        <v>93</v>
      </c>
      <c r="F99">
        <v>113.922905</v>
      </c>
      <c r="G99">
        <v>75.91709496</v>
      </c>
      <c r="I99" t="s">
        <v>208</v>
      </c>
      <c r="J99" s="20" t="s">
        <v>163</v>
      </c>
    </row>
    <row r="100" spans="5:10" x14ac:dyDescent="0.25">
      <c r="E100">
        <v>94</v>
      </c>
      <c r="F100">
        <v>115.0237169</v>
      </c>
      <c r="G100">
        <v>76.816283080000005</v>
      </c>
      <c r="I100" s="20"/>
      <c r="J100" s="20" t="s">
        <v>164</v>
      </c>
    </row>
    <row r="101" spans="5:10" x14ac:dyDescent="0.25">
      <c r="E101">
        <v>95</v>
      </c>
      <c r="F101">
        <v>116.1239996</v>
      </c>
      <c r="G101">
        <v>77.71600042</v>
      </c>
      <c r="I101" s="20"/>
      <c r="J101" s="20" t="s">
        <v>209</v>
      </c>
    </row>
    <row r="102" spans="5:10" x14ac:dyDescent="0.25">
      <c r="E102">
        <v>96</v>
      </c>
      <c r="F102">
        <v>117.22376130000001</v>
      </c>
      <c r="G102">
        <v>78.616238710000005</v>
      </c>
      <c r="I102" s="20"/>
      <c r="J102" s="20" t="s">
        <v>210</v>
      </c>
    </row>
    <row r="103" spans="5:10" x14ac:dyDescent="0.25">
      <c r="E103">
        <v>97</v>
      </c>
      <c r="F103">
        <v>118.3230101</v>
      </c>
      <c r="G103">
        <v>79.51698992</v>
      </c>
      <c r="I103" s="20"/>
      <c r="J103" s="20" t="s">
        <v>164</v>
      </c>
    </row>
    <row r="104" spans="5:10" x14ac:dyDescent="0.25">
      <c r="E104">
        <v>98</v>
      </c>
      <c r="F104">
        <v>119.4217538</v>
      </c>
      <c r="G104">
        <v>80.418246229999994</v>
      </c>
      <c r="I104" s="20"/>
      <c r="J104" s="20" t="s">
        <v>130</v>
      </c>
    </row>
    <row r="105" spans="5:10" x14ac:dyDescent="0.25">
      <c r="E105">
        <v>99</v>
      </c>
      <c r="F105">
        <v>120.52</v>
      </c>
      <c r="G105">
        <v>81.319999999999993</v>
      </c>
      <c r="I105" s="20"/>
      <c r="J105" s="20" t="s">
        <v>211</v>
      </c>
    </row>
    <row r="106" spans="5:10" x14ac:dyDescent="0.25">
      <c r="E106">
        <v>100</v>
      </c>
      <c r="F106">
        <v>121.6177562</v>
      </c>
      <c r="G106">
        <v>82.222243779999999</v>
      </c>
      <c r="I106" s="20"/>
      <c r="J106" s="20" t="s">
        <v>189</v>
      </c>
    </row>
    <row r="107" spans="5:10" x14ac:dyDescent="0.25">
      <c r="E107">
        <v>101</v>
      </c>
      <c r="F107">
        <v>122.7150297</v>
      </c>
      <c r="G107">
        <v>83.124970320000003</v>
      </c>
      <c r="I107" s="20"/>
      <c r="J107" s="20" t="s">
        <v>196</v>
      </c>
    </row>
    <row r="108" spans="5:10" x14ac:dyDescent="0.25">
      <c r="E108">
        <v>102</v>
      </c>
      <c r="F108">
        <v>123.81182750000001</v>
      </c>
      <c r="G108">
        <v>84.028172530000006</v>
      </c>
      <c r="I108" s="20"/>
      <c r="J108" s="20" t="s">
        <v>196</v>
      </c>
    </row>
    <row r="109" spans="5:10" x14ac:dyDescent="0.25">
      <c r="E109">
        <v>103</v>
      </c>
      <c r="F109">
        <v>124.9081565</v>
      </c>
      <c r="G109">
        <v>84.931843509999993</v>
      </c>
      <c r="I109" s="20"/>
      <c r="J109" s="20" t="s">
        <v>86</v>
      </c>
    </row>
    <row r="110" spans="5:10" x14ac:dyDescent="0.25">
      <c r="E110">
        <v>104</v>
      </c>
      <c r="F110">
        <v>126.0040235</v>
      </c>
      <c r="G110">
        <v>85.835976500000001</v>
      </c>
      <c r="I110" s="20"/>
      <c r="J110" s="20" t="s">
        <v>124</v>
      </c>
    </row>
    <row r="111" spans="5:10" x14ac:dyDescent="0.25">
      <c r="E111">
        <v>105</v>
      </c>
      <c r="F111">
        <v>127.09943509999999</v>
      </c>
      <c r="G111">
        <v>86.740564919999997</v>
      </c>
      <c r="I111" s="20"/>
      <c r="J111" s="20" t="s">
        <v>88</v>
      </c>
    </row>
    <row r="112" spans="5:10" x14ac:dyDescent="0.25">
      <c r="E112">
        <v>106</v>
      </c>
      <c r="F112">
        <v>128.1943976</v>
      </c>
      <c r="G112">
        <v>87.645602350000004</v>
      </c>
      <c r="I112" s="20"/>
      <c r="J112" s="20" t="s">
        <v>180</v>
      </c>
    </row>
    <row r="113" spans="5:10" x14ac:dyDescent="0.25">
      <c r="E113">
        <v>107</v>
      </c>
      <c r="F113">
        <v>129.2889175</v>
      </c>
      <c r="G113">
        <v>88.551082500000007</v>
      </c>
      <c r="I113" s="20"/>
      <c r="J113" s="20" t="s">
        <v>212</v>
      </c>
    </row>
    <row r="114" spans="5:10" x14ac:dyDescent="0.25">
      <c r="E114">
        <v>108</v>
      </c>
      <c r="F114">
        <v>130.38300079999999</v>
      </c>
      <c r="G114">
        <v>89.456999240000002</v>
      </c>
      <c r="I114" s="20"/>
      <c r="J114" s="20" t="s">
        <v>139</v>
      </c>
    </row>
    <row r="115" spans="5:10" x14ac:dyDescent="0.25">
      <c r="E115">
        <v>109</v>
      </c>
      <c r="F115">
        <v>131.4766534</v>
      </c>
      <c r="G115">
        <v>90.363346579999998</v>
      </c>
      <c r="I115" s="20"/>
      <c r="J115" s="20" t="s">
        <v>213</v>
      </c>
    </row>
    <row r="116" spans="5:10" x14ac:dyDescent="0.25">
      <c r="E116">
        <v>110</v>
      </c>
      <c r="F116">
        <v>132.56988140000001</v>
      </c>
      <c r="G116">
        <v>91.270118640000007</v>
      </c>
      <c r="I116" s="20"/>
      <c r="J116" s="20" t="s">
        <v>213</v>
      </c>
    </row>
    <row r="117" spans="5:10" x14ac:dyDescent="0.25">
      <c r="E117">
        <v>111</v>
      </c>
      <c r="F117">
        <v>133.66269030000001</v>
      </c>
      <c r="G117">
        <v>92.177309719999997</v>
      </c>
      <c r="I117" s="20"/>
      <c r="J117" s="20" t="s">
        <v>111</v>
      </c>
    </row>
    <row r="118" spans="5:10" x14ac:dyDescent="0.25">
      <c r="E118">
        <v>112</v>
      </c>
      <c r="F118">
        <v>134.75508579999999</v>
      </c>
      <c r="G118">
        <v>93.084914209999994</v>
      </c>
      <c r="I118" s="20"/>
      <c r="J118" s="20" t="s">
        <v>214</v>
      </c>
    </row>
    <row r="119" spans="5:10" x14ac:dyDescent="0.25">
      <c r="E119">
        <v>113</v>
      </c>
      <c r="F119">
        <v>135.8470734</v>
      </c>
      <c r="G119">
        <v>93.992926629999999</v>
      </c>
      <c r="I119" s="20"/>
      <c r="J119" s="20" t="s">
        <v>198</v>
      </c>
    </row>
    <row r="120" spans="5:10" x14ac:dyDescent="0.25">
      <c r="E120">
        <v>114</v>
      </c>
      <c r="F120">
        <v>136.93865840000001</v>
      </c>
      <c r="G120">
        <v>94.901341619999997</v>
      </c>
      <c r="I120" s="20"/>
      <c r="J120" s="20" t="s">
        <v>115</v>
      </c>
    </row>
    <row r="121" spans="5:10" x14ac:dyDescent="0.25">
      <c r="E121">
        <v>115</v>
      </c>
      <c r="F121">
        <v>138.02984599999999</v>
      </c>
      <c r="G121">
        <v>95.810153959999994</v>
      </c>
      <c r="I121" s="20"/>
      <c r="J121" s="20" t="s">
        <v>215</v>
      </c>
    </row>
    <row r="122" spans="5:10" x14ac:dyDescent="0.25">
      <c r="E122">
        <v>116</v>
      </c>
      <c r="F122">
        <v>139.1206415</v>
      </c>
      <c r="G122">
        <v>96.719358499999998</v>
      </c>
      <c r="I122" s="20"/>
      <c r="J122" s="20" t="s">
        <v>136</v>
      </c>
    </row>
    <row r="123" spans="5:10" x14ac:dyDescent="0.25">
      <c r="E123">
        <v>117</v>
      </c>
      <c r="F123">
        <v>140.21104980000001</v>
      </c>
      <c r="G123">
        <v>97.628950239999995</v>
      </c>
      <c r="I123" s="20"/>
      <c r="J123" s="20" t="s">
        <v>216</v>
      </c>
    </row>
    <row r="124" spans="5:10" x14ac:dyDescent="0.25">
      <c r="E124">
        <v>118</v>
      </c>
      <c r="F124">
        <v>141.30107570000001</v>
      </c>
      <c r="G124">
        <v>98.538924260000002</v>
      </c>
      <c r="I124" s="20"/>
      <c r="J124" s="20" t="s">
        <v>217</v>
      </c>
    </row>
    <row r="125" spans="5:10" x14ac:dyDescent="0.25">
      <c r="E125">
        <v>119</v>
      </c>
      <c r="F125">
        <v>142.39072429999999</v>
      </c>
      <c r="G125">
        <v>99.449275749999998</v>
      </c>
      <c r="I125" s="20"/>
      <c r="J125" s="20" t="s">
        <v>110</v>
      </c>
    </row>
    <row r="126" spans="5:10" x14ac:dyDescent="0.25">
      <c r="E126">
        <v>120</v>
      </c>
      <c r="F126">
        <v>143.47999999999999</v>
      </c>
      <c r="G126">
        <v>100.36</v>
      </c>
      <c r="I126" s="20"/>
      <c r="J126" s="20" t="s">
        <v>204</v>
      </c>
    </row>
    <row r="127" spans="5:10" x14ac:dyDescent="0.25">
      <c r="E127">
        <v>121</v>
      </c>
      <c r="F127">
        <v>144.56890759999999</v>
      </c>
      <c r="G127">
        <v>101.2710924</v>
      </c>
      <c r="I127" s="20"/>
      <c r="J127" s="20" t="s">
        <v>133</v>
      </c>
    </row>
    <row r="128" spans="5:10" x14ac:dyDescent="0.25">
      <c r="E128">
        <v>122</v>
      </c>
      <c r="F128">
        <v>145.6574516</v>
      </c>
      <c r="G128">
        <v>102.1825484</v>
      </c>
      <c r="I128" s="20"/>
      <c r="J128" s="20" t="s">
        <v>133</v>
      </c>
    </row>
    <row r="129" spans="5:10" x14ac:dyDescent="0.25">
      <c r="E129">
        <v>123</v>
      </c>
      <c r="F129">
        <v>146.7456363</v>
      </c>
      <c r="G129">
        <v>103.0943637</v>
      </c>
      <c r="I129" s="20"/>
      <c r="J129" s="20" t="s">
        <v>205</v>
      </c>
    </row>
    <row r="130" spans="5:10" x14ac:dyDescent="0.25">
      <c r="E130">
        <v>124</v>
      </c>
      <c r="F130">
        <v>147.8334662</v>
      </c>
      <c r="G130">
        <v>104.0065338</v>
      </c>
      <c r="I130" s="20"/>
      <c r="J130" s="20" t="s">
        <v>118</v>
      </c>
    </row>
    <row r="131" spans="5:10" x14ac:dyDescent="0.25">
      <c r="E131">
        <v>125</v>
      </c>
      <c r="F131">
        <v>148.92094539999999</v>
      </c>
      <c r="G131">
        <v>104.9190546</v>
      </c>
      <c r="I131" s="20"/>
      <c r="J131" s="20" t="s">
        <v>149</v>
      </c>
    </row>
    <row r="132" spans="5:10" x14ac:dyDescent="0.25">
      <c r="E132">
        <v>126</v>
      </c>
      <c r="F132">
        <v>150.0080782</v>
      </c>
      <c r="G132">
        <v>105.8319218</v>
      </c>
      <c r="I132" s="20"/>
      <c r="J132" s="20" t="s">
        <v>124</v>
      </c>
    </row>
    <row r="133" spans="5:10" x14ac:dyDescent="0.25">
      <c r="E133">
        <v>127</v>
      </c>
      <c r="F133">
        <v>151.09486870000001</v>
      </c>
      <c r="G133">
        <v>106.7451313</v>
      </c>
      <c r="I133" s="20"/>
      <c r="J133" s="20" t="s">
        <v>208</v>
      </c>
    </row>
    <row r="134" spans="5:10" x14ac:dyDescent="0.25">
      <c r="E134">
        <v>128</v>
      </c>
      <c r="F134">
        <v>152.18132069999999</v>
      </c>
      <c r="G134">
        <v>107.6586793</v>
      </c>
      <c r="I134" s="20"/>
      <c r="J134" s="20" t="s">
        <v>191</v>
      </c>
    </row>
    <row r="135" spans="5:10" x14ac:dyDescent="0.25">
      <c r="E135">
        <v>129</v>
      </c>
      <c r="F135">
        <v>153.26743830000001</v>
      </c>
      <c r="G135">
        <v>108.57256169999999</v>
      </c>
      <c r="I135" s="20"/>
      <c r="J135" s="20" t="s">
        <v>195</v>
      </c>
    </row>
    <row r="136" spans="5:10" x14ac:dyDescent="0.25">
      <c r="E136">
        <v>130</v>
      </c>
      <c r="F136">
        <v>154.35322540000001</v>
      </c>
      <c r="G136">
        <v>109.4867746</v>
      </c>
      <c r="I136" s="20"/>
      <c r="J136" s="20" t="s">
        <v>118</v>
      </c>
    </row>
    <row r="137" spans="5:10" x14ac:dyDescent="0.25">
      <c r="E137">
        <v>131</v>
      </c>
      <c r="F137">
        <v>155.43868560000001</v>
      </c>
      <c r="G137">
        <v>110.4013144</v>
      </c>
      <c r="I137" s="20"/>
      <c r="J137" s="20" t="s">
        <v>186</v>
      </c>
    </row>
    <row r="138" spans="5:10" x14ac:dyDescent="0.25">
      <c r="E138">
        <v>132</v>
      </c>
      <c r="F138">
        <v>156.52382270000001</v>
      </c>
      <c r="G138">
        <v>111.31617730000001</v>
      </c>
      <c r="I138" s="20"/>
      <c r="J138" s="20" t="s">
        <v>105</v>
      </c>
    </row>
    <row r="139" spans="5:10" x14ac:dyDescent="0.25">
      <c r="E139">
        <v>133</v>
      </c>
      <c r="F139">
        <v>157.60864029999999</v>
      </c>
      <c r="G139">
        <v>112.2313597</v>
      </c>
      <c r="I139" s="20"/>
    </row>
    <row r="140" spans="5:10" x14ac:dyDescent="0.25">
      <c r="E140">
        <v>134</v>
      </c>
      <c r="F140">
        <v>158.69314209999999</v>
      </c>
      <c r="G140">
        <v>113.1468579</v>
      </c>
      <c r="I140" s="20"/>
    </row>
    <row r="141" spans="5:10" x14ac:dyDescent="0.25">
      <c r="E141">
        <v>135</v>
      </c>
      <c r="F141">
        <v>159.77733140000001</v>
      </c>
      <c r="G141">
        <v>114.06266859999999</v>
      </c>
      <c r="I141" s="20"/>
    </row>
    <row r="142" spans="5:10" x14ac:dyDescent="0.25">
      <c r="E142">
        <v>136</v>
      </c>
      <c r="F142">
        <v>160.86121180000001</v>
      </c>
      <c r="G142">
        <v>114.9787882</v>
      </c>
      <c r="I142" s="20"/>
    </row>
    <row r="143" spans="5:10" x14ac:dyDescent="0.25">
      <c r="E143">
        <v>137</v>
      </c>
      <c r="F143">
        <v>161.94478659999999</v>
      </c>
      <c r="G143">
        <v>115.8952134</v>
      </c>
      <c r="I143" s="20"/>
    </row>
    <row r="144" spans="5:10" x14ac:dyDescent="0.25">
      <c r="E144">
        <v>138</v>
      </c>
      <c r="F144">
        <v>163.0280592</v>
      </c>
      <c r="G144">
        <v>116.8119408</v>
      </c>
      <c r="I144" s="20"/>
    </row>
    <row r="145" spans="5:9" x14ac:dyDescent="0.25">
      <c r="E145">
        <v>139</v>
      </c>
      <c r="F145">
        <v>164.11103270000001</v>
      </c>
      <c r="G145">
        <v>117.72896729999999</v>
      </c>
      <c r="I145" s="20"/>
    </row>
    <row r="146" spans="5:9" x14ac:dyDescent="0.25">
      <c r="E146">
        <v>140</v>
      </c>
      <c r="F146">
        <v>165.19371050000001</v>
      </c>
      <c r="G146">
        <v>118.64628949999999</v>
      </c>
      <c r="I146" s="20"/>
    </row>
    <row r="147" spans="5:9" x14ac:dyDescent="0.25">
      <c r="E147">
        <v>141</v>
      </c>
      <c r="F147">
        <v>166.27609559999999</v>
      </c>
      <c r="G147">
        <v>119.5639044</v>
      </c>
      <c r="I147" s="20"/>
    </row>
    <row r="148" spans="5:9" x14ac:dyDescent="0.25">
      <c r="E148">
        <v>142</v>
      </c>
      <c r="F148">
        <v>167.3581911</v>
      </c>
      <c r="G148">
        <v>120.4818089</v>
      </c>
      <c r="I148" s="20"/>
    </row>
    <row r="149" spans="5:9" x14ac:dyDescent="0.25">
      <c r="E149">
        <v>143</v>
      </c>
      <c r="F149">
        <v>168.44</v>
      </c>
      <c r="G149">
        <v>121.4</v>
      </c>
      <c r="I149" s="20"/>
    </row>
    <row r="150" spans="5:9" x14ac:dyDescent="0.25">
      <c r="E150">
        <v>144</v>
      </c>
      <c r="F150">
        <v>169.5215254</v>
      </c>
      <c r="G150">
        <v>122.3184746</v>
      </c>
      <c r="I150" s="20"/>
    </row>
    <row r="151" spans="5:9" x14ac:dyDescent="0.25">
      <c r="E151">
        <v>145</v>
      </c>
      <c r="F151">
        <v>170.60277009999999</v>
      </c>
      <c r="G151">
        <v>123.2372299</v>
      </c>
      <c r="I151" s="20"/>
    </row>
    <row r="152" spans="5:9" x14ac:dyDescent="0.25">
      <c r="E152">
        <v>146</v>
      </c>
      <c r="F152">
        <v>171.6837371</v>
      </c>
      <c r="G152">
        <v>124.1562629</v>
      </c>
      <c r="I152" s="20"/>
    </row>
    <row r="153" spans="5:9" x14ac:dyDescent="0.25">
      <c r="E153">
        <v>147</v>
      </c>
      <c r="F153">
        <v>172.7644291</v>
      </c>
      <c r="G153">
        <v>125.0755709</v>
      </c>
      <c r="I153" s="20"/>
    </row>
    <row r="154" spans="5:9" x14ac:dyDescent="0.25">
      <c r="E154">
        <v>148</v>
      </c>
      <c r="F154">
        <v>173.84484900000001</v>
      </c>
      <c r="G154">
        <v>125.99515100000001</v>
      </c>
      <c r="I154" s="20"/>
    </row>
    <row r="155" spans="5:9" x14ac:dyDescent="0.25">
      <c r="E155">
        <v>149</v>
      </c>
      <c r="F155">
        <v>174.92499950000001</v>
      </c>
      <c r="G155">
        <v>126.9150005</v>
      </c>
      <c r="I155" s="20"/>
    </row>
    <row r="156" spans="5:9" x14ac:dyDescent="0.25">
      <c r="E156">
        <v>150</v>
      </c>
      <c r="F156">
        <v>176.00488319999999</v>
      </c>
      <c r="G156">
        <v>127.83511679999999</v>
      </c>
      <c r="I156" s="20"/>
    </row>
    <row r="157" spans="5:9" x14ac:dyDescent="0.25">
      <c r="E157">
        <v>151</v>
      </c>
      <c r="F157">
        <v>177.08450289999999</v>
      </c>
      <c r="G157">
        <v>128.75549710000001</v>
      </c>
      <c r="I157" s="20"/>
    </row>
    <row r="158" spans="5:9" x14ac:dyDescent="0.25">
      <c r="E158">
        <v>152</v>
      </c>
      <c r="F158">
        <v>178.16386109999999</v>
      </c>
      <c r="G158">
        <v>129.67613890000001</v>
      </c>
      <c r="I158" s="20"/>
    </row>
    <row r="159" spans="5:9" x14ac:dyDescent="0.25">
      <c r="E159">
        <v>153</v>
      </c>
      <c r="F159">
        <v>179.24296029999999</v>
      </c>
      <c r="G159">
        <v>130.59703970000001</v>
      </c>
      <c r="I159" s="20"/>
    </row>
    <row r="160" spans="5:9" x14ac:dyDescent="0.25">
      <c r="E160">
        <v>154</v>
      </c>
      <c r="F160">
        <v>180.32180320000001</v>
      </c>
      <c r="G160">
        <v>131.5181968</v>
      </c>
      <c r="I160" s="20"/>
    </row>
    <row r="161" spans="5:9" x14ac:dyDescent="0.25">
      <c r="E161">
        <v>155</v>
      </c>
      <c r="F161">
        <v>181.4003922</v>
      </c>
      <c r="G161">
        <v>132.4396078</v>
      </c>
      <c r="I161" s="20"/>
    </row>
    <row r="162" spans="5:9" x14ac:dyDescent="0.25">
      <c r="E162">
        <v>156</v>
      </c>
      <c r="F162">
        <v>182.47872960000001</v>
      </c>
      <c r="G162">
        <v>133.3612704</v>
      </c>
      <c r="I162" s="20"/>
    </row>
    <row r="163" spans="5:9" x14ac:dyDescent="0.25">
      <c r="E163">
        <v>157</v>
      </c>
      <c r="F163">
        <v>183.55681799999999</v>
      </c>
      <c r="G163">
        <v>134.28318200000001</v>
      </c>
      <c r="I163" s="20"/>
    </row>
    <row r="164" spans="5:9" x14ac:dyDescent="0.25">
      <c r="E164">
        <v>158</v>
      </c>
      <c r="F164">
        <v>184.63465959999999</v>
      </c>
      <c r="G164">
        <v>135.20534040000001</v>
      </c>
      <c r="I164" s="20"/>
    </row>
    <row r="165" spans="5:9" x14ac:dyDescent="0.25">
      <c r="E165">
        <v>159</v>
      </c>
      <c r="F165">
        <v>185.7122569</v>
      </c>
      <c r="G165">
        <v>136.1277431</v>
      </c>
      <c r="I165" s="20"/>
    </row>
    <row r="166" spans="5:9" x14ac:dyDescent="0.25">
      <c r="E166">
        <v>160</v>
      </c>
      <c r="F166">
        <v>186.78961200000001</v>
      </c>
      <c r="G166">
        <v>137.050388</v>
      </c>
      <c r="I166" s="20"/>
    </row>
    <row r="167" spans="5:9" x14ac:dyDescent="0.25">
      <c r="E167">
        <v>161</v>
      </c>
      <c r="F167">
        <v>187.86672720000001</v>
      </c>
      <c r="G167">
        <v>137.97327279999999</v>
      </c>
      <c r="I167" s="20"/>
    </row>
    <row r="168" spans="5:9" x14ac:dyDescent="0.25">
      <c r="E168">
        <v>162</v>
      </c>
      <c r="F168">
        <v>188.9436049</v>
      </c>
      <c r="G168">
        <v>138.89639510000001</v>
      </c>
      <c r="I168" s="20"/>
    </row>
    <row r="169" spans="5:9" x14ac:dyDescent="0.25">
      <c r="E169">
        <v>163</v>
      </c>
      <c r="F169">
        <v>190.02024700000001</v>
      </c>
      <c r="G169">
        <v>139.81975299999999</v>
      </c>
    </row>
    <row r="170" spans="5:9" x14ac:dyDescent="0.25">
      <c r="E170">
        <v>164</v>
      </c>
      <c r="F170">
        <v>191.0966559</v>
      </c>
      <c r="G170">
        <v>140.7433441</v>
      </c>
    </row>
    <row r="171" spans="5:9" x14ac:dyDescent="0.25">
      <c r="E171">
        <v>165</v>
      </c>
      <c r="F171">
        <v>192.1728335</v>
      </c>
      <c r="G171">
        <v>141.66716650000001</v>
      </c>
    </row>
    <row r="172" spans="5:9" x14ac:dyDescent="0.25">
      <c r="E172">
        <v>166</v>
      </c>
      <c r="F172">
        <v>193.24878200000001</v>
      </c>
      <c r="G172">
        <v>142.591218</v>
      </c>
    </row>
    <row r="173" spans="5:9" x14ac:dyDescent="0.25">
      <c r="E173">
        <v>167</v>
      </c>
      <c r="F173">
        <v>194.32450349999999</v>
      </c>
      <c r="G173">
        <v>143.51549650000001</v>
      </c>
    </row>
    <row r="174" spans="5:9" x14ac:dyDescent="0.25">
      <c r="E174">
        <v>168</v>
      </c>
      <c r="F174">
        <v>195.4</v>
      </c>
      <c r="G174">
        <v>144.44</v>
      </c>
    </row>
    <row r="175" spans="5:9" x14ac:dyDescent="0.25">
      <c r="E175">
        <v>169</v>
      </c>
      <c r="F175">
        <v>196.47527339999999</v>
      </c>
      <c r="G175">
        <v>145.36472660000001</v>
      </c>
    </row>
    <row r="176" spans="5:9" x14ac:dyDescent="0.25">
      <c r="E176">
        <v>170</v>
      </c>
      <c r="F176">
        <v>197.5503258</v>
      </c>
      <c r="G176">
        <v>146.28967420000001</v>
      </c>
    </row>
    <row r="177" spans="5:7" x14ac:dyDescent="0.25">
      <c r="E177">
        <v>171</v>
      </c>
      <c r="F177">
        <v>198.625159</v>
      </c>
      <c r="G177">
        <v>147.21484100000001</v>
      </c>
    </row>
    <row r="178" spans="5:7" x14ac:dyDescent="0.25">
      <c r="E178">
        <v>172</v>
      </c>
      <c r="F178">
        <v>199.69977499999999</v>
      </c>
      <c r="G178">
        <v>148.14022499999999</v>
      </c>
    </row>
    <row r="179" spans="5:7" x14ac:dyDescent="0.25">
      <c r="E179">
        <v>173</v>
      </c>
      <c r="F179">
        <v>200.7741757</v>
      </c>
      <c r="G179">
        <v>149.0658243</v>
      </c>
    </row>
    <row r="180" spans="5:7" x14ac:dyDescent="0.25">
      <c r="E180">
        <v>174</v>
      </c>
      <c r="F180">
        <v>201.84836279999999</v>
      </c>
      <c r="G180">
        <v>149.99163720000001</v>
      </c>
    </row>
    <row r="181" spans="5:7" x14ac:dyDescent="0.25">
      <c r="E181">
        <v>175</v>
      </c>
      <c r="F181">
        <v>202.9223384</v>
      </c>
      <c r="G181">
        <v>150.9176616</v>
      </c>
    </row>
    <row r="182" spans="5:7" x14ac:dyDescent="0.25">
      <c r="E182">
        <v>176</v>
      </c>
      <c r="F182">
        <v>203.996104</v>
      </c>
      <c r="G182">
        <v>151.843896</v>
      </c>
    </row>
    <row r="183" spans="5:7" x14ac:dyDescent="0.25">
      <c r="E183">
        <v>177</v>
      </c>
      <c r="F183">
        <v>205.06966159999999</v>
      </c>
      <c r="G183">
        <v>152.77033840000001</v>
      </c>
    </row>
    <row r="184" spans="5:7" x14ac:dyDescent="0.25">
      <c r="E184">
        <v>178</v>
      </c>
      <c r="F184">
        <v>206.14301280000001</v>
      </c>
      <c r="G184">
        <v>153.6969872</v>
      </c>
    </row>
    <row r="185" spans="5:7" x14ac:dyDescent="0.25">
      <c r="E185">
        <v>179</v>
      </c>
      <c r="F185">
        <v>207.21615940000001</v>
      </c>
      <c r="G185">
        <v>154.62384059999999</v>
      </c>
    </row>
    <row r="186" spans="5:7" x14ac:dyDescent="0.25">
      <c r="E186">
        <v>180</v>
      </c>
      <c r="F186">
        <v>208.28910310000001</v>
      </c>
      <c r="G186">
        <v>155.5508969</v>
      </c>
    </row>
    <row r="187" spans="5:7" x14ac:dyDescent="0.25">
      <c r="E187">
        <v>181</v>
      </c>
      <c r="F187">
        <v>209.36184560000001</v>
      </c>
      <c r="G187">
        <v>156.47815439999999</v>
      </c>
    </row>
    <row r="188" spans="5:7" x14ac:dyDescent="0.25">
      <c r="E188">
        <v>182</v>
      </c>
      <c r="F188">
        <v>210.43438850000001</v>
      </c>
      <c r="G188">
        <v>157.40561149999999</v>
      </c>
    </row>
    <row r="189" spans="5:7" x14ac:dyDescent="0.25">
      <c r="E189">
        <v>183</v>
      </c>
      <c r="F189">
        <v>211.5067335</v>
      </c>
      <c r="G189">
        <v>158.33326650000001</v>
      </c>
    </row>
    <row r="190" spans="5:7" x14ac:dyDescent="0.25">
      <c r="E190">
        <v>184</v>
      </c>
      <c r="F190">
        <v>212.57888220000001</v>
      </c>
      <c r="G190">
        <v>159.26111779999999</v>
      </c>
    </row>
    <row r="191" spans="5:7" x14ac:dyDescent="0.25">
      <c r="E191">
        <v>185</v>
      </c>
      <c r="F191">
        <v>213.65083609999999</v>
      </c>
      <c r="G191">
        <v>160.18916390000001</v>
      </c>
    </row>
    <row r="192" spans="5:7" x14ac:dyDescent="0.25">
      <c r="E192">
        <v>186</v>
      </c>
      <c r="F192">
        <v>214.72259690000001</v>
      </c>
      <c r="G192">
        <v>161.11740309999999</v>
      </c>
    </row>
    <row r="193" spans="5:7" x14ac:dyDescent="0.25">
      <c r="E193">
        <v>187</v>
      </c>
      <c r="F193">
        <v>215.79416599999999</v>
      </c>
      <c r="G193">
        <v>162.04583400000001</v>
      </c>
    </row>
    <row r="194" spans="5:7" x14ac:dyDescent="0.25">
      <c r="E194">
        <v>188</v>
      </c>
      <c r="F194">
        <v>216.86554509999999</v>
      </c>
      <c r="G194">
        <v>162.97445490000001</v>
      </c>
    </row>
    <row r="195" spans="5:7" x14ac:dyDescent="0.25">
      <c r="E195">
        <v>189</v>
      </c>
      <c r="F195">
        <v>217.93673559999999</v>
      </c>
      <c r="G195">
        <v>163.90326440000001</v>
      </c>
    </row>
    <row r="196" spans="5:7" x14ac:dyDescent="0.25">
      <c r="E196">
        <v>190</v>
      </c>
      <c r="F196">
        <v>219.00773889999999</v>
      </c>
      <c r="G196">
        <v>164.83226110000001</v>
      </c>
    </row>
    <row r="197" spans="5:7" x14ac:dyDescent="0.25">
      <c r="E197">
        <v>191</v>
      </c>
      <c r="F197">
        <v>220.07855670000001</v>
      </c>
      <c r="G197">
        <v>165.7614433</v>
      </c>
    </row>
    <row r="198" spans="5:7" x14ac:dyDescent="0.25">
      <c r="E198">
        <v>192</v>
      </c>
      <c r="F198">
        <v>221.14919019999999</v>
      </c>
      <c r="G198">
        <v>166.69080980000001</v>
      </c>
    </row>
    <row r="199" spans="5:7" x14ac:dyDescent="0.25">
      <c r="E199">
        <v>193</v>
      </c>
      <c r="F199">
        <v>222.219641</v>
      </c>
      <c r="G199">
        <v>167.62035900000001</v>
      </c>
    </row>
    <row r="200" spans="5:7" x14ac:dyDescent="0.25">
      <c r="E200">
        <v>194</v>
      </c>
      <c r="F200">
        <v>223.28991049999999</v>
      </c>
      <c r="G200">
        <v>168.55008950000001</v>
      </c>
    </row>
    <row r="201" spans="5:7" x14ac:dyDescent="0.25">
      <c r="E201">
        <v>195</v>
      </c>
      <c r="F201">
        <v>224.36</v>
      </c>
      <c r="G201">
        <v>169.48</v>
      </c>
    </row>
    <row r="202" spans="5:7" x14ac:dyDescent="0.25">
      <c r="E202">
        <v>196</v>
      </c>
      <c r="F202">
        <v>225.42991090000001</v>
      </c>
      <c r="G202">
        <v>170.41008909999999</v>
      </c>
    </row>
    <row r="203" spans="5:7" x14ac:dyDescent="0.25">
      <c r="E203">
        <v>197</v>
      </c>
      <c r="F203">
        <v>226.4996447</v>
      </c>
      <c r="G203">
        <v>171.3403553</v>
      </c>
    </row>
    <row r="204" spans="5:7" x14ac:dyDescent="0.25">
      <c r="E204">
        <v>198</v>
      </c>
      <c r="F204">
        <v>227.56920249999999</v>
      </c>
      <c r="G204">
        <v>172.27079749999999</v>
      </c>
    </row>
    <row r="205" spans="5:7" x14ac:dyDescent="0.25">
      <c r="E205">
        <v>199</v>
      </c>
      <c r="F205">
        <v>228.63858579999999</v>
      </c>
      <c r="G205">
        <v>173.20141419999999</v>
      </c>
    </row>
    <row r="206" spans="5:7" x14ac:dyDescent="0.25">
      <c r="E206">
        <v>200</v>
      </c>
      <c r="F206">
        <v>229.70779590000001</v>
      </c>
      <c r="G206">
        <v>174.1322041</v>
      </c>
    </row>
    <row r="2078" spans="9:10" x14ac:dyDescent="0.25">
      <c r="I2078" s="51"/>
      <c r="J2078" s="51"/>
    </row>
    <row r="2079" spans="9:10" x14ac:dyDescent="0.25">
      <c r="I2079" s="51"/>
      <c r="J2079" s="51"/>
    </row>
    <row r="2080" spans="9:10" x14ac:dyDescent="0.25">
      <c r="I2080" s="51"/>
      <c r="J2080" s="51"/>
    </row>
    <row r="2081" spans="9:10" x14ac:dyDescent="0.25">
      <c r="I2081" s="51"/>
      <c r="J2081" s="51"/>
    </row>
    <row r="2082" spans="9:10" x14ac:dyDescent="0.25">
      <c r="I2082" s="51"/>
      <c r="J2082" s="51"/>
    </row>
    <row r="2083" spans="9:10" x14ac:dyDescent="0.25">
      <c r="I2083" s="51"/>
      <c r="J2083" s="51"/>
    </row>
    <row r="2084" spans="9:10" x14ac:dyDescent="0.25">
      <c r="I2084" s="51"/>
      <c r="J2084" s="51"/>
    </row>
    <row r="2085" spans="9:10" x14ac:dyDescent="0.25">
      <c r="I2085" s="51"/>
      <c r="J2085" s="51"/>
    </row>
    <row r="2086" spans="9:10" x14ac:dyDescent="0.25">
      <c r="I2086" s="51"/>
      <c r="J2086" s="51"/>
    </row>
    <row r="2087" spans="9:10" x14ac:dyDescent="0.25">
      <c r="I2087" s="51"/>
      <c r="J2087" s="51"/>
    </row>
    <row r="2088" spans="9:10" x14ac:dyDescent="0.25">
      <c r="I2088" s="51"/>
      <c r="J2088" s="51"/>
    </row>
    <row r="2089" spans="9:10" x14ac:dyDescent="0.25">
      <c r="I2089" s="51"/>
      <c r="J2089" s="51"/>
    </row>
    <row r="2090" spans="9:10" x14ac:dyDescent="0.25">
      <c r="I2090" s="51"/>
      <c r="J2090" s="51"/>
    </row>
    <row r="2091" spans="9:10" x14ac:dyDescent="0.25">
      <c r="I2091" s="51"/>
      <c r="J2091" s="51"/>
    </row>
    <row r="2092" spans="9:10" x14ac:dyDescent="0.25">
      <c r="I2092" s="51"/>
      <c r="J2092" s="51"/>
    </row>
    <row r="2093" spans="9:10" x14ac:dyDescent="0.25">
      <c r="I2093" s="51"/>
      <c r="J2093" s="51"/>
    </row>
    <row r="2094" spans="9:10" x14ac:dyDescent="0.25">
      <c r="I2094" s="51"/>
      <c r="J2094" s="51"/>
    </row>
    <row r="2095" spans="9:10" x14ac:dyDescent="0.25">
      <c r="I2095" s="51"/>
      <c r="J2095" s="51"/>
    </row>
    <row r="2096" spans="9:10" x14ac:dyDescent="0.25">
      <c r="I2096" s="51"/>
      <c r="J2096" s="51"/>
    </row>
    <row r="2097" spans="9:10" x14ac:dyDescent="0.25">
      <c r="I2097" s="51"/>
      <c r="J2097" s="51"/>
    </row>
    <row r="2098" spans="9:10" x14ac:dyDescent="0.25">
      <c r="I2098" s="51"/>
      <c r="J2098" s="51"/>
    </row>
    <row r="2099" spans="9:10" x14ac:dyDescent="0.25">
      <c r="I2099" s="51"/>
      <c r="J2099" s="51"/>
    </row>
    <row r="2100" spans="9:10" x14ac:dyDescent="0.25">
      <c r="I2100" s="51"/>
      <c r="J2100" s="51"/>
    </row>
    <row r="2101" spans="9:10" x14ac:dyDescent="0.25">
      <c r="I2101" s="51"/>
      <c r="J2101" s="51"/>
    </row>
    <row r="2102" spans="9:10" x14ac:dyDescent="0.25">
      <c r="I2102" s="51"/>
      <c r="J2102" s="51"/>
    </row>
    <row r="2103" spans="9:10" x14ac:dyDescent="0.25">
      <c r="I2103" s="51"/>
      <c r="J2103" s="51"/>
    </row>
    <row r="2104" spans="9:10" x14ac:dyDescent="0.25">
      <c r="I2104" s="51"/>
      <c r="J2104" s="51"/>
    </row>
    <row r="2105" spans="9:10" x14ac:dyDescent="0.25">
      <c r="I2105" s="51"/>
      <c r="J2105" s="51"/>
    </row>
    <row r="2106" spans="9:10" x14ac:dyDescent="0.25">
      <c r="I2106" s="51"/>
      <c r="J2106" s="51"/>
    </row>
    <row r="2107" spans="9:10" x14ac:dyDescent="0.25">
      <c r="I2107" s="51"/>
      <c r="J2107" s="51"/>
    </row>
    <row r="2108" spans="9:10" x14ac:dyDescent="0.25">
      <c r="I2108" s="51"/>
      <c r="J2108" s="51"/>
    </row>
    <row r="2109" spans="9:10" x14ac:dyDescent="0.25">
      <c r="I2109" s="51"/>
      <c r="J2109" s="51"/>
    </row>
    <row r="2110" spans="9:10" x14ac:dyDescent="0.25">
      <c r="I2110" s="51"/>
      <c r="J2110" s="51"/>
    </row>
    <row r="2111" spans="9:10" x14ac:dyDescent="0.25">
      <c r="I2111" s="51"/>
      <c r="J2111" s="51"/>
    </row>
    <row r="2112" spans="9:10" x14ac:dyDescent="0.25">
      <c r="I2112" s="51"/>
      <c r="J2112" s="51"/>
    </row>
    <row r="2113" spans="9:10" x14ac:dyDescent="0.25">
      <c r="I2113" s="51"/>
      <c r="J2113" s="51"/>
    </row>
    <row r="2114" spans="9:10" x14ac:dyDescent="0.25">
      <c r="I2114" s="51"/>
      <c r="J2114" s="51"/>
    </row>
    <row r="2115" spans="9:10" x14ac:dyDescent="0.25">
      <c r="I2115" s="51"/>
      <c r="J2115" s="51"/>
    </row>
    <row r="2116" spans="9:10" x14ac:dyDescent="0.25">
      <c r="I2116" s="51"/>
      <c r="J2116" s="51"/>
    </row>
    <row r="2117" spans="9:10" x14ac:dyDescent="0.25">
      <c r="I2117" s="51"/>
      <c r="J2117" s="51"/>
    </row>
    <row r="2118" spans="9:10" x14ac:dyDescent="0.25">
      <c r="I2118" s="51"/>
      <c r="J2118" s="51"/>
    </row>
    <row r="2119" spans="9:10" x14ac:dyDescent="0.25">
      <c r="I2119" s="51"/>
      <c r="J2119" s="51"/>
    </row>
    <row r="2120" spans="9:10" x14ac:dyDescent="0.25">
      <c r="I2120" s="51"/>
      <c r="J2120" s="51"/>
    </row>
    <row r="2121" spans="9:10" x14ac:dyDescent="0.25">
      <c r="I2121" s="51"/>
      <c r="J2121" s="51"/>
    </row>
    <row r="2122" spans="9:10" x14ac:dyDescent="0.25">
      <c r="I2122" s="51"/>
      <c r="J2122" s="51"/>
    </row>
    <row r="2123" spans="9:10" x14ac:dyDescent="0.25">
      <c r="I2123" s="51"/>
      <c r="J2123" s="51"/>
    </row>
    <row r="2124" spans="9:10" x14ac:dyDescent="0.25">
      <c r="I2124" s="51"/>
      <c r="J2124" s="51"/>
    </row>
    <row r="2125" spans="9:10" x14ac:dyDescent="0.25">
      <c r="I2125" s="51"/>
      <c r="J2125" s="51"/>
    </row>
    <row r="2126" spans="9:10" x14ac:dyDescent="0.25">
      <c r="I2126" s="51"/>
      <c r="J2126" s="51"/>
    </row>
    <row r="2127" spans="9:10" x14ac:dyDescent="0.25">
      <c r="I2127" s="51"/>
      <c r="J2127" s="51"/>
    </row>
    <row r="2128" spans="9:10" x14ac:dyDescent="0.25">
      <c r="I2128" s="51"/>
      <c r="J2128" s="51"/>
    </row>
    <row r="2129" spans="9:10" x14ac:dyDescent="0.25">
      <c r="I2129" s="51"/>
      <c r="J2129" s="51"/>
    </row>
    <row r="2130" spans="9:10" x14ac:dyDescent="0.25">
      <c r="I2130" s="51"/>
      <c r="J2130" s="51"/>
    </row>
    <row r="2131" spans="9:10" x14ac:dyDescent="0.25">
      <c r="I2131" s="51"/>
      <c r="J2131" s="51"/>
    </row>
    <row r="2132" spans="9:10" x14ac:dyDescent="0.25">
      <c r="I2132" s="51"/>
      <c r="J2132" s="51"/>
    </row>
    <row r="2133" spans="9:10" x14ac:dyDescent="0.25">
      <c r="I2133" s="51"/>
      <c r="J2133" s="51"/>
    </row>
    <row r="2134" spans="9:10" x14ac:dyDescent="0.25">
      <c r="I2134" s="51"/>
      <c r="J2134" s="51"/>
    </row>
    <row r="2135" spans="9:10" x14ac:dyDescent="0.25">
      <c r="I2135" s="51"/>
      <c r="J2135" s="51"/>
    </row>
    <row r="2136" spans="9:10" x14ac:dyDescent="0.25">
      <c r="I2136" s="51"/>
      <c r="J2136" s="51"/>
    </row>
    <row r="2137" spans="9:10" x14ac:dyDescent="0.25">
      <c r="I2137" s="51"/>
      <c r="J2137" s="51"/>
    </row>
    <row r="2138" spans="9:10" x14ac:dyDescent="0.25">
      <c r="I2138" s="51"/>
      <c r="J2138" s="51"/>
    </row>
    <row r="2139" spans="9:10" x14ac:dyDescent="0.25">
      <c r="I2139" s="51"/>
      <c r="J2139" s="51"/>
    </row>
    <row r="2140" spans="9:10" x14ac:dyDescent="0.25">
      <c r="I2140" s="51"/>
      <c r="J2140" s="51"/>
    </row>
    <row r="2141" spans="9:10" x14ac:dyDescent="0.25">
      <c r="I2141" s="51"/>
      <c r="J2141" s="51"/>
    </row>
    <row r="2142" spans="9:10" x14ac:dyDescent="0.25">
      <c r="I2142" s="51"/>
      <c r="J2142" s="51"/>
    </row>
    <row r="2143" spans="9:10" x14ac:dyDescent="0.25">
      <c r="I2143" s="51"/>
      <c r="J2143" s="51"/>
    </row>
    <row r="2144" spans="9:10" x14ac:dyDescent="0.25">
      <c r="I2144" s="51"/>
      <c r="J2144" s="51"/>
    </row>
    <row r="2145" spans="9:10" x14ac:dyDescent="0.25">
      <c r="I2145" s="51"/>
      <c r="J2145" s="51"/>
    </row>
    <row r="2146" spans="9:10" x14ac:dyDescent="0.25">
      <c r="I2146" s="51"/>
      <c r="J2146" s="51"/>
    </row>
    <row r="2147" spans="9:10" x14ac:dyDescent="0.25">
      <c r="I2147" s="51"/>
      <c r="J2147" s="51"/>
    </row>
    <row r="2148" spans="9:10" x14ac:dyDescent="0.25">
      <c r="I2148" s="51"/>
      <c r="J2148" s="51"/>
    </row>
    <row r="2149" spans="9:10" x14ac:dyDescent="0.25">
      <c r="I2149" s="51"/>
      <c r="J2149" s="51"/>
    </row>
    <row r="2150" spans="9:10" x14ac:dyDescent="0.25">
      <c r="I2150" s="51"/>
      <c r="J2150" s="51"/>
    </row>
    <row r="2151" spans="9:10" x14ac:dyDescent="0.25">
      <c r="I2151" s="51"/>
      <c r="J2151" s="51"/>
    </row>
    <row r="2152" spans="9:10" x14ac:dyDescent="0.25">
      <c r="I2152" s="51"/>
      <c r="J2152" s="51"/>
    </row>
    <row r="2153" spans="9:10" x14ac:dyDescent="0.25">
      <c r="I2153" s="51"/>
      <c r="J2153" s="51"/>
    </row>
    <row r="2154" spans="9:10" x14ac:dyDescent="0.25">
      <c r="I2154" s="51"/>
      <c r="J2154" s="51"/>
    </row>
    <row r="2155" spans="9:10" x14ac:dyDescent="0.25">
      <c r="I2155" s="51"/>
      <c r="J2155" s="51"/>
    </row>
    <row r="2156" spans="9:10" x14ac:dyDescent="0.25">
      <c r="I2156" s="51"/>
      <c r="J2156" s="51"/>
    </row>
    <row r="2157" spans="9:10" x14ac:dyDescent="0.25">
      <c r="I2157" s="51"/>
      <c r="J2157" s="51"/>
    </row>
    <row r="2158" spans="9:10" x14ac:dyDescent="0.25">
      <c r="I2158" s="51"/>
      <c r="J2158" s="51"/>
    </row>
    <row r="2159" spans="9:10" x14ac:dyDescent="0.25">
      <c r="I2159" s="51"/>
      <c r="J2159" s="51"/>
    </row>
    <row r="2160" spans="9:10" x14ac:dyDescent="0.25">
      <c r="I2160" s="51"/>
      <c r="J2160" s="51"/>
    </row>
    <row r="2161" spans="9:10" x14ac:dyDescent="0.25">
      <c r="I2161" s="51"/>
      <c r="J2161" s="51"/>
    </row>
    <row r="2162" spans="9:10" x14ac:dyDescent="0.25">
      <c r="I2162" s="51"/>
      <c r="J2162" s="51"/>
    </row>
    <row r="2163" spans="9:10" x14ac:dyDescent="0.25">
      <c r="I2163" s="51"/>
      <c r="J2163" s="51"/>
    </row>
    <row r="2164" spans="9:10" x14ac:dyDescent="0.25">
      <c r="I2164" s="51"/>
      <c r="J2164" s="51"/>
    </row>
    <row r="2165" spans="9:10" x14ac:dyDescent="0.25">
      <c r="I2165" s="51"/>
      <c r="J2165" s="51"/>
    </row>
    <row r="2166" spans="9:10" x14ac:dyDescent="0.25">
      <c r="I2166" s="51"/>
      <c r="J2166" s="51"/>
    </row>
    <row r="2167" spans="9:10" x14ac:dyDescent="0.25">
      <c r="I2167" s="51"/>
      <c r="J2167" s="51"/>
    </row>
    <row r="2168" spans="9:10" x14ac:dyDescent="0.25">
      <c r="I2168" s="51"/>
      <c r="J2168" s="51"/>
    </row>
    <row r="2169" spans="9:10" x14ac:dyDescent="0.25">
      <c r="I2169" s="51"/>
      <c r="J2169" s="51"/>
    </row>
    <row r="2170" spans="9:10" x14ac:dyDescent="0.25">
      <c r="I2170" s="51"/>
      <c r="J2170" s="51"/>
    </row>
    <row r="2171" spans="9:10" x14ac:dyDescent="0.25">
      <c r="I2171" s="51"/>
      <c r="J2171" s="51"/>
    </row>
    <row r="2172" spans="9:10" x14ac:dyDescent="0.25">
      <c r="I2172" s="51"/>
      <c r="J2172" s="51"/>
    </row>
    <row r="2173" spans="9:10" x14ac:dyDescent="0.25">
      <c r="I2173" s="51"/>
      <c r="J2173" s="51"/>
    </row>
    <row r="2174" spans="9:10" x14ac:dyDescent="0.25">
      <c r="I2174" s="51"/>
      <c r="J2174" s="51"/>
    </row>
    <row r="2175" spans="9:10" x14ac:dyDescent="0.25">
      <c r="I2175" s="51"/>
      <c r="J2175" s="51"/>
    </row>
    <row r="2176" spans="9:10" x14ac:dyDescent="0.25">
      <c r="I2176" s="51"/>
      <c r="J2176" s="51"/>
    </row>
    <row r="2177" spans="9:10" x14ac:dyDescent="0.25">
      <c r="I2177" s="51"/>
      <c r="J2177" s="51"/>
    </row>
    <row r="2178" spans="9:10" x14ac:dyDescent="0.25">
      <c r="I2178" s="51"/>
      <c r="J2178" s="51"/>
    </row>
    <row r="2179" spans="9:10" x14ac:dyDescent="0.25">
      <c r="I2179" s="51"/>
      <c r="J2179" s="51"/>
    </row>
    <row r="2180" spans="9:10" x14ac:dyDescent="0.25">
      <c r="I2180" s="51"/>
      <c r="J2180" s="51"/>
    </row>
    <row r="2181" spans="9:10" x14ac:dyDescent="0.25">
      <c r="I2181" s="51"/>
      <c r="J2181" s="51"/>
    </row>
    <row r="2182" spans="9:10" x14ac:dyDescent="0.25">
      <c r="I2182" s="51"/>
      <c r="J2182" s="51"/>
    </row>
    <row r="2183" spans="9:10" x14ac:dyDescent="0.25">
      <c r="I2183" s="51"/>
      <c r="J2183" s="51"/>
    </row>
    <row r="2184" spans="9:10" x14ac:dyDescent="0.25">
      <c r="I2184" s="51"/>
      <c r="J2184" s="51"/>
    </row>
    <row r="2185" spans="9:10" x14ac:dyDescent="0.25">
      <c r="I2185" s="51"/>
      <c r="J2185" s="51"/>
    </row>
    <row r="2186" spans="9:10" x14ac:dyDescent="0.25">
      <c r="I2186" s="51"/>
      <c r="J2186" s="51"/>
    </row>
    <row r="2187" spans="9:10" x14ac:dyDescent="0.25">
      <c r="I2187" s="51"/>
      <c r="J2187" s="51"/>
    </row>
    <row r="2188" spans="9:10" x14ac:dyDescent="0.25">
      <c r="I2188" s="51"/>
      <c r="J2188" s="51"/>
    </row>
    <row r="2189" spans="9:10" x14ac:dyDescent="0.25">
      <c r="I2189" s="51"/>
      <c r="J2189" s="51"/>
    </row>
    <row r="2190" spans="9:10" x14ac:dyDescent="0.25">
      <c r="I2190" s="51"/>
      <c r="J2190" s="51"/>
    </row>
    <row r="2191" spans="9:10" x14ac:dyDescent="0.25">
      <c r="I2191" s="51"/>
      <c r="J2191" s="51"/>
    </row>
    <row r="2192" spans="9:10" x14ac:dyDescent="0.25">
      <c r="I2192" s="51"/>
      <c r="J2192" s="51"/>
    </row>
    <row r="2193" spans="9:10" x14ac:dyDescent="0.25">
      <c r="I2193" s="51"/>
      <c r="J2193" s="51"/>
    </row>
    <row r="2194" spans="9:10" x14ac:dyDescent="0.25">
      <c r="I2194" s="51"/>
      <c r="J2194" s="51"/>
    </row>
    <row r="2195" spans="9:10" x14ac:dyDescent="0.25">
      <c r="I2195" s="51"/>
      <c r="J2195" s="51"/>
    </row>
    <row r="2196" spans="9:10" x14ac:dyDescent="0.25">
      <c r="I2196" s="51"/>
      <c r="J2196" s="51"/>
    </row>
    <row r="2197" spans="9:10" x14ac:dyDescent="0.25">
      <c r="I2197" s="51"/>
      <c r="J2197" s="51"/>
    </row>
    <row r="2198" spans="9:10" x14ac:dyDescent="0.25">
      <c r="I2198" s="51"/>
      <c r="J2198" s="51"/>
    </row>
    <row r="2199" spans="9:10" x14ac:dyDescent="0.25">
      <c r="I2199" s="51"/>
      <c r="J2199" s="51"/>
    </row>
    <row r="2200" spans="9:10" x14ac:dyDescent="0.25">
      <c r="I2200" s="51"/>
      <c r="J2200" s="51"/>
    </row>
    <row r="2201" spans="9:10" x14ac:dyDescent="0.25">
      <c r="I2201" s="51"/>
      <c r="J2201" s="51"/>
    </row>
    <row r="2202" spans="9:10" x14ac:dyDescent="0.25">
      <c r="I2202" s="51"/>
      <c r="J2202" s="51"/>
    </row>
    <row r="2203" spans="9:10" x14ac:dyDescent="0.25">
      <c r="I2203" s="51"/>
      <c r="J2203" s="51"/>
    </row>
    <row r="2204" spans="9:10" x14ac:dyDescent="0.25">
      <c r="I2204" s="51"/>
      <c r="J2204" s="51"/>
    </row>
    <row r="2205" spans="9:10" x14ac:dyDescent="0.25">
      <c r="I2205" s="51"/>
      <c r="J2205" s="51"/>
    </row>
    <row r="2206" spans="9:10" x14ac:dyDescent="0.25">
      <c r="I2206" s="51"/>
      <c r="J2206" s="51"/>
    </row>
    <row r="2207" spans="9:10" x14ac:dyDescent="0.25">
      <c r="I2207" s="51"/>
      <c r="J2207" s="51"/>
    </row>
    <row r="2208" spans="9:10" x14ac:dyDescent="0.25">
      <c r="I2208" s="51"/>
      <c r="J2208" s="51"/>
    </row>
    <row r="2209" spans="9:10" x14ac:dyDescent="0.25">
      <c r="I2209" s="51"/>
      <c r="J2209" s="51"/>
    </row>
    <row r="2210" spans="9:10" x14ac:dyDescent="0.25">
      <c r="I2210" s="51"/>
      <c r="J2210" s="51"/>
    </row>
    <row r="2211" spans="9:10" x14ac:dyDescent="0.25">
      <c r="I2211" s="51"/>
      <c r="J2211" s="51"/>
    </row>
    <row r="2212" spans="9:10" x14ac:dyDescent="0.25">
      <c r="I2212" s="51"/>
      <c r="J2212" s="51"/>
    </row>
    <row r="2213" spans="9:10" x14ac:dyDescent="0.25">
      <c r="I2213" s="51"/>
      <c r="J2213" s="51"/>
    </row>
    <row r="2214" spans="9:10" x14ac:dyDescent="0.25">
      <c r="I2214" s="51"/>
      <c r="J2214" s="51"/>
    </row>
    <row r="2215" spans="9:10" x14ac:dyDescent="0.25">
      <c r="I2215" s="51"/>
      <c r="J2215" s="51"/>
    </row>
    <row r="2216" spans="9:10" x14ac:dyDescent="0.25">
      <c r="I2216" s="51"/>
      <c r="J2216" s="51"/>
    </row>
    <row r="2217" spans="9:10" x14ac:dyDescent="0.25">
      <c r="I2217" s="51"/>
      <c r="J2217" s="51"/>
    </row>
    <row r="2218" spans="9:10" x14ac:dyDescent="0.25">
      <c r="I2218" s="51"/>
      <c r="J2218" s="51"/>
    </row>
    <row r="2219" spans="9:10" x14ac:dyDescent="0.25">
      <c r="I2219" s="51"/>
      <c r="J2219" s="51"/>
    </row>
    <row r="2220" spans="9:10" x14ac:dyDescent="0.25">
      <c r="I2220" s="51"/>
      <c r="J2220" s="51"/>
    </row>
    <row r="2221" spans="9:10" x14ac:dyDescent="0.25">
      <c r="I2221" s="51"/>
      <c r="J2221" s="51"/>
    </row>
    <row r="2222" spans="9:10" x14ac:dyDescent="0.25">
      <c r="I2222" s="51"/>
      <c r="J2222" s="51"/>
    </row>
    <row r="2223" spans="9:10" x14ac:dyDescent="0.25">
      <c r="I2223" s="51"/>
      <c r="J2223" s="51"/>
    </row>
    <row r="2224" spans="9:10" x14ac:dyDescent="0.25">
      <c r="I2224" s="51"/>
      <c r="J2224" s="51"/>
    </row>
    <row r="2225" spans="9:10" x14ac:dyDescent="0.25">
      <c r="I2225" s="51"/>
      <c r="J2225" s="51"/>
    </row>
    <row r="2226" spans="9:10" x14ac:dyDescent="0.25">
      <c r="I2226" s="51"/>
      <c r="J2226" s="51"/>
    </row>
    <row r="2227" spans="9:10" x14ac:dyDescent="0.25">
      <c r="I2227" s="51"/>
      <c r="J2227" s="51"/>
    </row>
    <row r="2228" spans="9:10" x14ac:dyDescent="0.25">
      <c r="I2228" s="51"/>
      <c r="J2228" s="51"/>
    </row>
    <row r="2229" spans="9:10" x14ac:dyDescent="0.25">
      <c r="I2229" s="51"/>
      <c r="J2229" s="51"/>
    </row>
    <row r="2230" spans="9:10" x14ac:dyDescent="0.25">
      <c r="I2230" s="51"/>
      <c r="J2230" s="51"/>
    </row>
    <row r="2231" spans="9:10" x14ac:dyDescent="0.25">
      <c r="I2231" s="51"/>
      <c r="J2231" s="51"/>
    </row>
    <row r="2232" spans="9:10" x14ac:dyDescent="0.25">
      <c r="I2232" s="51"/>
      <c r="J2232" s="51"/>
    </row>
    <row r="2233" spans="9:10" x14ac:dyDescent="0.25">
      <c r="I2233" s="51"/>
      <c r="J2233" s="51"/>
    </row>
    <row r="2234" spans="9:10" x14ac:dyDescent="0.25">
      <c r="I2234" s="51"/>
      <c r="J2234" s="51"/>
    </row>
    <row r="2235" spans="9:10" x14ac:dyDescent="0.25">
      <c r="I2235" s="51"/>
      <c r="J2235" s="51"/>
    </row>
    <row r="2236" spans="9:10" x14ac:dyDescent="0.25">
      <c r="I2236" s="51"/>
      <c r="J2236" s="51"/>
    </row>
    <row r="2237" spans="9:10" x14ac:dyDescent="0.25">
      <c r="I2237" s="51"/>
      <c r="J2237" s="51"/>
    </row>
    <row r="2238" spans="9:10" x14ac:dyDescent="0.25">
      <c r="I2238" s="51"/>
      <c r="J2238" s="51"/>
    </row>
    <row r="2239" spans="9:10" x14ac:dyDescent="0.25">
      <c r="I2239" s="51"/>
      <c r="J2239" s="51"/>
    </row>
    <row r="2240" spans="9:10" x14ac:dyDescent="0.25">
      <c r="I2240" s="51"/>
      <c r="J2240" s="51"/>
    </row>
    <row r="2241" spans="9:10" x14ac:dyDescent="0.25">
      <c r="I2241" s="51"/>
      <c r="J2241" s="51"/>
    </row>
    <row r="2242" spans="9:10" x14ac:dyDescent="0.25">
      <c r="I2242" s="51"/>
      <c r="J2242" s="51"/>
    </row>
    <row r="2243" spans="9:10" x14ac:dyDescent="0.25">
      <c r="I2243" s="51"/>
      <c r="J2243" s="51"/>
    </row>
    <row r="2244" spans="9:10" x14ac:dyDescent="0.25">
      <c r="I2244" s="51"/>
      <c r="J2244" s="51"/>
    </row>
    <row r="2245" spans="9:10" x14ac:dyDescent="0.25">
      <c r="I2245" s="51"/>
      <c r="J2245" s="51"/>
    </row>
    <row r="2246" spans="9:10" x14ac:dyDescent="0.25">
      <c r="I2246" s="51"/>
      <c r="J2246" s="51"/>
    </row>
    <row r="2247" spans="9:10" x14ac:dyDescent="0.25">
      <c r="I2247" s="51"/>
      <c r="J2247" s="51"/>
    </row>
    <row r="2248" spans="9:10" x14ac:dyDescent="0.25">
      <c r="I2248" s="51"/>
      <c r="J2248" s="51"/>
    </row>
    <row r="2249" spans="9:10" x14ac:dyDescent="0.25">
      <c r="I2249" s="51"/>
      <c r="J2249" s="51"/>
    </row>
    <row r="2250" spans="9:10" x14ac:dyDescent="0.25">
      <c r="I2250" s="51"/>
      <c r="J2250" s="51"/>
    </row>
    <row r="2251" spans="9:10" x14ac:dyDescent="0.25">
      <c r="I2251" s="51"/>
      <c r="J2251" s="51"/>
    </row>
    <row r="2252" spans="9:10" x14ac:dyDescent="0.25">
      <c r="I2252" s="51"/>
      <c r="J2252" s="51"/>
    </row>
    <row r="2253" spans="9:10" x14ac:dyDescent="0.25">
      <c r="I2253" s="51"/>
      <c r="J2253" s="51"/>
    </row>
    <row r="2254" spans="9:10" x14ac:dyDescent="0.25">
      <c r="I2254" s="51"/>
      <c r="J2254" s="51"/>
    </row>
    <row r="2255" spans="9:10" x14ac:dyDescent="0.25">
      <c r="I2255" s="51"/>
      <c r="J2255" s="51"/>
    </row>
    <row r="2256" spans="9:10" x14ac:dyDescent="0.25">
      <c r="I2256" s="51"/>
      <c r="J2256" s="51"/>
    </row>
    <row r="2257" spans="9:10" x14ac:dyDescent="0.25">
      <c r="I2257" s="51"/>
      <c r="J2257" s="51"/>
    </row>
    <row r="2258" spans="9:10" x14ac:dyDescent="0.25">
      <c r="I2258" s="51"/>
      <c r="J2258" s="51"/>
    </row>
    <row r="2259" spans="9:10" x14ac:dyDescent="0.25">
      <c r="I2259" s="51"/>
      <c r="J2259" s="51"/>
    </row>
    <row r="2260" spans="9:10" x14ac:dyDescent="0.25">
      <c r="I2260" s="51"/>
      <c r="J2260" s="51"/>
    </row>
    <row r="2261" spans="9:10" x14ac:dyDescent="0.25">
      <c r="I2261" s="51"/>
      <c r="J2261" s="51"/>
    </row>
    <row r="2262" spans="9:10" x14ac:dyDescent="0.25">
      <c r="I2262" s="51"/>
      <c r="J2262" s="51"/>
    </row>
    <row r="2263" spans="9:10" x14ac:dyDescent="0.25">
      <c r="I2263" s="51"/>
      <c r="J2263" s="51"/>
    </row>
    <row r="2264" spans="9:10" x14ac:dyDescent="0.25">
      <c r="I2264" s="51"/>
      <c r="J2264" s="51"/>
    </row>
    <row r="2265" spans="9:10" x14ac:dyDescent="0.25">
      <c r="I2265" s="51"/>
      <c r="J2265" s="51"/>
    </row>
    <row r="2266" spans="9:10" x14ac:dyDescent="0.25">
      <c r="I2266" s="51"/>
      <c r="J2266" s="51"/>
    </row>
    <row r="2267" spans="9:10" x14ac:dyDescent="0.25">
      <c r="I2267" s="51"/>
      <c r="J2267" s="51"/>
    </row>
    <row r="2268" spans="9:10" x14ac:dyDescent="0.25">
      <c r="I2268" s="51"/>
      <c r="J2268" s="51"/>
    </row>
    <row r="2269" spans="9:10" x14ac:dyDescent="0.25">
      <c r="I2269" s="51"/>
      <c r="J2269" s="51"/>
    </row>
    <row r="2270" spans="9:10" x14ac:dyDescent="0.25">
      <c r="I2270" s="51"/>
      <c r="J2270" s="51"/>
    </row>
    <row r="2271" spans="9:10" x14ac:dyDescent="0.25">
      <c r="I2271" s="51"/>
      <c r="J2271" s="51"/>
    </row>
    <row r="2272" spans="9:10" x14ac:dyDescent="0.25">
      <c r="I2272" s="51"/>
      <c r="J2272" s="51"/>
    </row>
    <row r="2273" spans="9:10" x14ac:dyDescent="0.25">
      <c r="I2273" s="51"/>
      <c r="J2273" s="51"/>
    </row>
    <row r="2274" spans="9:10" x14ac:dyDescent="0.25">
      <c r="I2274" s="51"/>
      <c r="J2274" s="51"/>
    </row>
    <row r="2275" spans="9:10" x14ac:dyDescent="0.25">
      <c r="I2275" s="51"/>
      <c r="J2275" s="51"/>
    </row>
    <row r="2276" spans="9:10" x14ac:dyDescent="0.25">
      <c r="I2276" s="51"/>
      <c r="J2276" s="51"/>
    </row>
    <row r="2277" spans="9:10" x14ac:dyDescent="0.25">
      <c r="I2277" s="51"/>
      <c r="J2277" s="51"/>
    </row>
    <row r="2278" spans="9:10" x14ac:dyDescent="0.25">
      <c r="I2278" s="51"/>
      <c r="J2278" s="51"/>
    </row>
    <row r="2279" spans="9:10" x14ac:dyDescent="0.25">
      <c r="I2279" s="51"/>
      <c r="J2279" s="51"/>
    </row>
    <row r="2280" spans="9:10" x14ac:dyDescent="0.25">
      <c r="I2280" s="51"/>
      <c r="J2280" s="51"/>
    </row>
    <row r="2281" spans="9:10" x14ac:dyDescent="0.25">
      <c r="I2281" s="51"/>
      <c r="J2281" s="51"/>
    </row>
    <row r="2282" spans="9:10" x14ac:dyDescent="0.25">
      <c r="I2282" s="51"/>
      <c r="J2282" s="51"/>
    </row>
    <row r="2283" spans="9:10" x14ac:dyDescent="0.25">
      <c r="I2283" s="51"/>
      <c r="J2283" s="51"/>
    </row>
    <row r="2284" spans="9:10" x14ac:dyDescent="0.25">
      <c r="I2284" s="51"/>
      <c r="J2284" s="51"/>
    </row>
    <row r="2285" spans="9:10" x14ac:dyDescent="0.25">
      <c r="I2285" s="51"/>
      <c r="J2285" s="51"/>
    </row>
    <row r="2286" spans="9:10" x14ac:dyDescent="0.25">
      <c r="I2286" s="51"/>
      <c r="J2286" s="51"/>
    </row>
    <row r="2287" spans="9:10" x14ac:dyDescent="0.25">
      <c r="I2287" s="51"/>
      <c r="J2287" s="51"/>
    </row>
    <row r="2288" spans="9:10" x14ac:dyDescent="0.25">
      <c r="I2288" s="51"/>
      <c r="J2288" s="51"/>
    </row>
    <row r="2289" spans="9:10" x14ac:dyDescent="0.25">
      <c r="I2289" s="51"/>
      <c r="J2289" s="51"/>
    </row>
    <row r="2290" spans="9:10" x14ac:dyDescent="0.25">
      <c r="I2290" s="51"/>
      <c r="J2290" s="51"/>
    </row>
    <row r="2291" spans="9:10" x14ac:dyDescent="0.25">
      <c r="I2291" s="51"/>
      <c r="J2291" s="51"/>
    </row>
    <row r="2292" spans="9:10" x14ac:dyDescent="0.25">
      <c r="I2292" s="51"/>
      <c r="J2292" s="51"/>
    </row>
    <row r="2293" spans="9:10" x14ac:dyDescent="0.25">
      <c r="I2293" s="51"/>
      <c r="J2293" s="51"/>
    </row>
    <row r="2294" spans="9:10" x14ac:dyDescent="0.25">
      <c r="I2294" s="51"/>
      <c r="J2294" s="51"/>
    </row>
    <row r="2295" spans="9:10" x14ac:dyDescent="0.25">
      <c r="I2295" s="51"/>
      <c r="J2295" s="51"/>
    </row>
    <row r="2296" spans="9:10" x14ac:dyDescent="0.25">
      <c r="I2296" s="51"/>
      <c r="J2296" s="51"/>
    </row>
    <row r="2297" spans="9:10" x14ac:dyDescent="0.25">
      <c r="I2297" s="51"/>
      <c r="J2297" s="51"/>
    </row>
    <row r="2298" spans="9:10" x14ac:dyDescent="0.25">
      <c r="I2298" s="51"/>
      <c r="J2298" s="51"/>
    </row>
    <row r="2299" spans="9:10" x14ac:dyDescent="0.25">
      <c r="I2299" s="51"/>
      <c r="J2299" s="51"/>
    </row>
    <row r="2300" spans="9:10" x14ac:dyDescent="0.25">
      <c r="I2300" s="51"/>
      <c r="J2300" s="51"/>
    </row>
    <row r="2301" spans="9:10" x14ac:dyDescent="0.25">
      <c r="I2301" s="51"/>
      <c r="J2301" s="51"/>
    </row>
    <row r="2302" spans="9:10" x14ac:dyDescent="0.25">
      <c r="I2302" s="51"/>
      <c r="J2302" s="51"/>
    </row>
    <row r="2303" spans="9:10" x14ac:dyDescent="0.25">
      <c r="I2303" s="51"/>
      <c r="J2303" s="51"/>
    </row>
    <row r="2304" spans="9:10" x14ac:dyDescent="0.25">
      <c r="I2304" s="51"/>
      <c r="J2304" s="51"/>
    </row>
    <row r="2305" spans="9:10" x14ac:dyDescent="0.25">
      <c r="I2305" s="51"/>
      <c r="J2305" s="51"/>
    </row>
    <row r="2306" spans="9:10" x14ac:dyDescent="0.25">
      <c r="I2306" s="51"/>
      <c r="J2306" s="51"/>
    </row>
    <row r="2307" spans="9:10" x14ac:dyDescent="0.25">
      <c r="I2307" s="51"/>
      <c r="J2307" s="51"/>
    </row>
    <row r="2308" spans="9:10" x14ac:dyDescent="0.25">
      <c r="I2308" s="51"/>
      <c r="J2308" s="51"/>
    </row>
    <row r="2309" spans="9:10" x14ac:dyDescent="0.25">
      <c r="I2309" s="51"/>
      <c r="J2309" s="51"/>
    </row>
    <row r="2310" spans="9:10" x14ac:dyDescent="0.25">
      <c r="I2310" s="51"/>
      <c r="J2310" s="51"/>
    </row>
    <row r="2311" spans="9:10" x14ac:dyDescent="0.25">
      <c r="I2311" s="51"/>
      <c r="J2311" s="51"/>
    </row>
    <row r="2312" spans="9:10" x14ac:dyDescent="0.25">
      <c r="I2312" s="51"/>
      <c r="J2312" s="51"/>
    </row>
    <row r="2313" spans="9:10" x14ac:dyDescent="0.25">
      <c r="I2313" s="51"/>
      <c r="J2313" s="51"/>
    </row>
    <row r="2314" spans="9:10" x14ac:dyDescent="0.25">
      <c r="I2314" s="51"/>
      <c r="J2314" s="51"/>
    </row>
    <row r="2315" spans="9:10" x14ac:dyDescent="0.25">
      <c r="I2315" s="51"/>
      <c r="J2315" s="51"/>
    </row>
    <row r="2316" spans="9:10" x14ac:dyDescent="0.25">
      <c r="I2316" s="51"/>
      <c r="J2316" s="51"/>
    </row>
    <row r="2317" spans="9:10" x14ac:dyDescent="0.25">
      <c r="I2317" s="51"/>
      <c r="J2317" s="51"/>
    </row>
    <row r="2318" spans="9:10" x14ac:dyDescent="0.25">
      <c r="I2318" s="51"/>
      <c r="J2318" s="51"/>
    </row>
    <row r="2319" spans="9:10" x14ac:dyDescent="0.25">
      <c r="I2319" s="51"/>
      <c r="J2319" s="51"/>
    </row>
    <row r="2320" spans="9:10" x14ac:dyDescent="0.25">
      <c r="I2320" s="51"/>
      <c r="J2320" s="51"/>
    </row>
    <row r="2321" spans="9:10" x14ac:dyDescent="0.25">
      <c r="I2321" s="51"/>
      <c r="J2321" s="51"/>
    </row>
    <row r="2322" spans="9:10" x14ac:dyDescent="0.25">
      <c r="I2322" s="51"/>
      <c r="J2322" s="51"/>
    </row>
    <row r="2323" spans="9:10" x14ac:dyDescent="0.25">
      <c r="I2323" s="51"/>
      <c r="J2323" s="51"/>
    </row>
    <row r="2324" spans="9:10" x14ac:dyDescent="0.25">
      <c r="I2324" s="51"/>
      <c r="J2324" s="51"/>
    </row>
    <row r="2325" spans="9:10" x14ac:dyDescent="0.25">
      <c r="I2325" s="51"/>
      <c r="J2325" s="51"/>
    </row>
    <row r="2326" spans="9:10" x14ac:dyDescent="0.25">
      <c r="I2326" s="51"/>
      <c r="J2326" s="51"/>
    </row>
    <row r="2327" spans="9:10" x14ac:dyDescent="0.25">
      <c r="I2327" s="51"/>
      <c r="J2327" s="51"/>
    </row>
    <row r="2328" spans="9:10" x14ac:dyDescent="0.25">
      <c r="I2328" s="51"/>
      <c r="J2328" s="51"/>
    </row>
    <row r="2329" spans="9:10" x14ac:dyDescent="0.25">
      <c r="I2329" s="51"/>
      <c r="J2329" s="51"/>
    </row>
    <row r="2330" spans="9:10" x14ac:dyDescent="0.25">
      <c r="I2330" s="51"/>
      <c r="J2330" s="51"/>
    </row>
    <row r="2331" spans="9:10" x14ac:dyDescent="0.25">
      <c r="I2331" s="51"/>
      <c r="J2331" s="51"/>
    </row>
    <row r="2332" spans="9:10" x14ac:dyDescent="0.25">
      <c r="I2332" s="51"/>
      <c r="J2332" s="51"/>
    </row>
    <row r="2333" spans="9:10" x14ac:dyDescent="0.25">
      <c r="I2333" s="51"/>
      <c r="J2333" s="51"/>
    </row>
    <row r="2334" spans="9:10" x14ac:dyDescent="0.25">
      <c r="I2334" s="51"/>
      <c r="J2334" s="51"/>
    </row>
    <row r="2335" spans="9:10" x14ac:dyDescent="0.25">
      <c r="I2335" s="51"/>
      <c r="J2335" s="51"/>
    </row>
    <row r="2336" spans="9:10" x14ac:dyDescent="0.25">
      <c r="I2336" s="51"/>
      <c r="J2336" s="51"/>
    </row>
    <row r="2337" spans="9:10" x14ac:dyDescent="0.25">
      <c r="I2337" s="51"/>
      <c r="J2337" s="51"/>
    </row>
    <row r="2338" spans="9:10" x14ac:dyDescent="0.25">
      <c r="I2338" s="51"/>
      <c r="J2338" s="51"/>
    </row>
    <row r="2339" spans="9:10" x14ac:dyDescent="0.25">
      <c r="I2339" s="51"/>
      <c r="J2339" s="51"/>
    </row>
    <row r="2340" spans="9:10" x14ac:dyDescent="0.25">
      <c r="I2340" s="51"/>
      <c r="J2340" s="51"/>
    </row>
    <row r="2341" spans="9:10" x14ac:dyDescent="0.25">
      <c r="I2341" s="51"/>
      <c r="J2341" s="51"/>
    </row>
    <row r="2342" spans="9:10" x14ac:dyDescent="0.25">
      <c r="I2342" s="51"/>
      <c r="J2342" s="51"/>
    </row>
    <row r="2343" spans="9:10" x14ac:dyDescent="0.25">
      <c r="I2343" s="51"/>
      <c r="J2343" s="51"/>
    </row>
    <row r="2344" spans="9:10" x14ac:dyDescent="0.25">
      <c r="I2344" s="51"/>
      <c r="J2344" s="51"/>
    </row>
    <row r="2345" spans="9:10" x14ac:dyDescent="0.25">
      <c r="I2345" s="51"/>
      <c r="J2345" s="51"/>
    </row>
    <row r="2346" spans="9:10" x14ac:dyDescent="0.25">
      <c r="I2346" s="51"/>
      <c r="J2346" s="51"/>
    </row>
    <row r="2347" spans="9:10" x14ac:dyDescent="0.25">
      <c r="I2347" s="51"/>
      <c r="J2347" s="51"/>
    </row>
    <row r="2348" spans="9:10" x14ac:dyDescent="0.25">
      <c r="I2348" s="51"/>
      <c r="J2348" s="51"/>
    </row>
    <row r="2349" spans="9:10" x14ac:dyDescent="0.25">
      <c r="I2349" s="51"/>
      <c r="J2349" s="51"/>
    </row>
    <row r="2350" spans="9:10" x14ac:dyDescent="0.25">
      <c r="I2350" s="51"/>
      <c r="J2350" s="51"/>
    </row>
    <row r="2351" spans="9:10" x14ac:dyDescent="0.25">
      <c r="I2351" s="51"/>
      <c r="J2351" s="51"/>
    </row>
    <row r="2352" spans="9:10" x14ac:dyDescent="0.25">
      <c r="I2352" s="51"/>
      <c r="J2352" s="51"/>
    </row>
    <row r="2353" spans="9:10" x14ac:dyDescent="0.25">
      <c r="I2353" s="51"/>
      <c r="J2353" s="51"/>
    </row>
    <row r="2354" spans="9:10" x14ac:dyDescent="0.25">
      <c r="I2354" s="51"/>
      <c r="J2354" s="51"/>
    </row>
    <row r="2355" spans="9:10" x14ac:dyDescent="0.25">
      <c r="I2355" s="51"/>
      <c r="J2355" s="51"/>
    </row>
    <row r="2356" spans="9:10" x14ac:dyDescent="0.25">
      <c r="I2356" s="51"/>
      <c r="J2356" s="51"/>
    </row>
    <row r="2357" spans="9:10" x14ac:dyDescent="0.25">
      <c r="I2357" s="51"/>
      <c r="J2357" s="51"/>
    </row>
    <row r="2358" spans="9:10" x14ac:dyDescent="0.25">
      <c r="I2358" s="51"/>
      <c r="J2358" s="51"/>
    </row>
    <row r="2359" spans="9:10" x14ac:dyDescent="0.25">
      <c r="I2359" s="51"/>
      <c r="J2359" s="51"/>
    </row>
    <row r="2360" spans="9:10" x14ac:dyDescent="0.25">
      <c r="I2360" s="51"/>
      <c r="J2360" s="51"/>
    </row>
    <row r="2361" spans="9:10" x14ac:dyDescent="0.25">
      <c r="I2361" s="51"/>
      <c r="J2361" s="51"/>
    </row>
    <row r="2362" spans="9:10" x14ac:dyDescent="0.25">
      <c r="I2362" s="51"/>
      <c r="J2362" s="51"/>
    </row>
    <row r="2363" spans="9:10" x14ac:dyDescent="0.25">
      <c r="I2363" s="51"/>
      <c r="J2363" s="51"/>
    </row>
    <row r="2364" spans="9:10" x14ac:dyDescent="0.25">
      <c r="I2364" s="51"/>
      <c r="J2364" s="51"/>
    </row>
    <row r="2365" spans="9:10" x14ac:dyDescent="0.25">
      <c r="I2365" s="51"/>
      <c r="J2365" s="51"/>
    </row>
    <row r="2366" spans="9:10" x14ac:dyDescent="0.25">
      <c r="I2366" s="51"/>
      <c r="J2366" s="51"/>
    </row>
    <row r="2367" spans="9:10" x14ac:dyDescent="0.25">
      <c r="I2367" s="51"/>
      <c r="J2367" s="51"/>
    </row>
    <row r="2368" spans="9:10" x14ac:dyDescent="0.25">
      <c r="I2368" s="51"/>
      <c r="J2368" s="51"/>
    </row>
    <row r="2369" spans="9:10" x14ac:dyDescent="0.25">
      <c r="I2369" s="51"/>
      <c r="J2369" s="51"/>
    </row>
    <row r="2370" spans="9:10" x14ac:dyDescent="0.25">
      <c r="I2370" s="51"/>
      <c r="J2370" s="51"/>
    </row>
    <row r="2371" spans="9:10" x14ac:dyDescent="0.25">
      <c r="I2371" s="51"/>
      <c r="J2371" s="51"/>
    </row>
    <row r="2372" spans="9:10" x14ac:dyDescent="0.25">
      <c r="I2372" s="51"/>
      <c r="J2372" s="51"/>
    </row>
    <row r="2373" spans="9:10" x14ac:dyDescent="0.25">
      <c r="I2373" s="51"/>
      <c r="J2373" s="51"/>
    </row>
    <row r="2374" spans="9:10" x14ac:dyDescent="0.25">
      <c r="I2374" s="51"/>
      <c r="J2374" s="51"/>
    </row>
    <row r="2375" spans="9:10" x14ac:dyDescent="0.25">
      <c r="I2375" s="51"/>
      <c r="J2375" s="51"/>
    </row>
    <row r="2376" spans="9:10" x14ac:dyDescent="0.25">
      <c r="I2376" s="51"/>
      <c r="J2376" s="51"/>
    </row>
    <row r="2377" spans="9:10" x14ac:dyDescent="0.25">
      <c r="I2377" s="51"/>
      <c r="J2377" s="51"/>
    </row>
    <row r="2378" spans="9:10" x14ac:dyDescent="0.25">
      <c r="I2378" s="51"/>
      <c r="J2378" s="51"/>
    </row>
    <row r="2379" spans="9:10" x14ac:dyDescent="0.25">
      <c r="I2379" s="51"/>
      <c r="J2379" s="51"/>
    </row>
    <row r="2380" spans="9:10" x14ac:dyDescent="0.25">
      <c r="I2380" s="51"/>
      <c r="J2380" s="51"/>
    </row>
    <row r="2381" spans="9:10" x14ac:dyDescent="0.25">
      <c r="I2381" s="51"/>
      <c r="J2381" s="51"/>
    </row>
    <row r="2382" spans="9:10" x14ac:dyDescent="0.25">
      <c r="I2382" s="51"/>
      <c r="J2382" s="51"/>
    </row>
    <row r="2383" spans="9:10" x14ac:dyDescent="0.25">
      <c r="I2383" s="51"/>
      <c r="J2383" s="51"/>
    </row>
    <row r="2384" spans="9:10" x14ac:dyDescent="0.25">
      <c r="I2384" s="51"/>
      <c r="J2384" s="51"/>
    </row>
    <row r="2385" spans="9:10" x14ac:dyDescent="0.25">
      <c r="I2385" s="51"/>
      <c r="J2385" s="51"/>
    </row>
    <row r="2386" spans="9:10" x14ac:dyDescent="0.25">
      <c r="I2386" s="51"/>
      <c r="J2386" s="51"/>
    </row>
    <row r="2387" spans="9:10" x14ac:dyDescent="0.25">
      <c r="I2387" s="51"/>
      <c r="J2387" s="51"/>
    </row>
    <row r="2388" spans="9:10" x14ac:dyDescent="0.25">
      <c r="I2388" s="51"/>
      <c r="J2388" s="51"/>
    </row>
    <row r="2389" spans="9:10" x14ac:dyDescent="0.25">
      <c r="I2389" s="51"/>
      <c r="J2389" s="51"/>
    </row>
    <row r="2390" spans="9:10" x14ac:dyDescent="0.25">
      <c r="I2390" s="51"/>
      <c r="J2390" s="51"/>
    </row>
    <row r="2391" spans="9:10" x14ac:dyDescent="0.25">
      <c r="I2391" s="51"/>
      <c r="J2391" s="51"/>
    </row>
    <row r="2392" spans="9:10" x14ac:dyDescent="0.25">
      <c r="I2392" s="51"/>
      <c r="J2392" s="51"/>
    </row>
    <row r="2393" spans="9:10" x14ac:dyDescent="0.25">
      <c r="I2393" s="51"/>
      <c r="J2393" s="51"/>
    </row>
    <row r="2394" spans="9:10" x14ac:dyDescent="0.25">
      <c r="I2394" s="51"/>
      <c r="J2394" s="51"/>
    </row>
    <row r="2395" spans="9:10" x14ac:dyDescent="0.25">
      <c r="I2395" s="51"/>
      <c r="J2395" s="51"/>
    </row>
    <row r="2396" spans="9:10" x14ac:dyDescent="0.25">
      <c r="I2396" s="51"/>
      <c r="J2396" s="51"/>
    </row>
    <row r="2397" spans="9:10" x14ac:dyDescent="0.25">
      <c r="I2397" s="51"/>
      <c r="J2397" s="51"/>
    </row>
    <row r="2398" spans="9:10" x14ac:dyDescent="0.25">
      <c r="I2398" s="51"/>
      <c r="J2398" s="51"/>
    </row>
    <row r="2399" spans="9:10" x14ac:dyDescent="0.25">
      <c r="I2399" s="51"/>
      <c r="J2399" s="51"/>
    </row>
    <row r="2400" spans="9:10" x14ac:dyDescent="0.25">
      <c r="I2400" s="51"/>
      <c r="J2400" s="51"/>
    </row>
    <row r="2401" spans="9:10" x14ac:dyDescent="0.25">
      <c r="I2401" s="51"/>
      <c r="J2401" s="51"/>
    </row>
    <row r="2402" spans="9:10" x14ac:dyDescent="0.25">
      <c r="I2402" s="51"/>
      <c r="J2402" s="51"/>
    </row>
    <row r="2403" spans="9:10" x14ac:dyDescent="0.25">
      <c r="I2403" s="51"/>
      <c r="J2403" s="51"/>
    </row>
    <row r="2404" spans="9:10" x14ac:dyDescent="0.25">
      <c r="I2404" s="51"/>
      <c r="J2404" s="51"/>
    </row>
    <row r="2405" spans="9:10" x14ac:dyDescent="0.25">
      <c r="I2405" s="51"/>
      <c r="J2405" s="51"/>
    </row>
    <row r="2406" spans="9:10" x14ac:dyDescent="0.25">
      <c r="I2406" s="51"/>
      <c r="J2406" s="51"/>
    </row>
    <row r="2407" spans="9:10" x14ac:dyDescent="0.25">
      <c r="I2407" s="51"/>
      <c r="J2407" s="51"/>
    </row>
    <row r="2408" spans="9:10" x14ac:dyDescent="0.25">
      <c r="I2408" s="51"/>
      <c r="J2408" s="51"/>
    </row>
    <row r="2409" spans="9:10" x14ac:dyDescent="0.25">
      <c r="I2409" s="51"/>
      <c r="J2409" s="51"/>
    </row>
    <row r="2410" spans="9:10" x14ac:dyDescent="0.25">
      <c r="I2410" s="51"/>
      <c r="J2410" s="51"/>
    </row>
    <row r="2411" spans="9:10" x14ac:dyDescent="0.25">
      <c r="I2411" s="51"/>
      <c r="J2411" s="51"/>
    </row>
    <row r="2412" spans="9:10" x14ac:dyDescent="0.25">
      <c r="I2412" s="51"/>
      <c r="J2412" s="51"/>
    </row>
    <row r="2413" spans="9:10" x14ac:dyDescent="0.25">
      <c r="I2413" s="51"/>
      <c r="J2413" s="51"/>
    </row>
    <row r="2414" spans="9:10" x14ac:dyDescent="0.25">
      <c r="I2414" s="51"/>
      <c r="J2414" s="51"/>
    </row>
    <row r="2415" spans="9:10" x14ac:dyDescent="0.25">
      <c r="I2415" s="51"/>
      <c r="J2415" s="51"/>
    </row>
    <row r="2416" spans="9:10" x14ac:dyDescent="0.25">
      <c r="I2416" s="51"/>
      <c r="J2416" s="51"/>
    </row>
    <row r="2417" spans="9:10" x14ac:dyDescent="0.25">
      <c r="I2417" s="51"/>
      <c r="J2417" s="51"/>
    </row>
    <row r="2418" spans="9:10" x14ac:dyDescent="0.25">
      <c r="I2418" s="51"/>
      <c r="J2418" s="51"/>
    </row>
    <row r="2419" spans="9:10" x14ac:dyDescent="0.25">
      <c r="I2419" s="51"/>
      <c r="J2419" s="51"/>
    </row>
    <row r="2420" spans="9:10" x14ac:dyDescent="0.25">
      <c r="I2420" s="51"/>
      <c r="J2420" s="51"/>
    </row>
    <row r="2421" spans="9:10" x14ac:dyDescent="0.25">
      <c r="I2421" s="51"/>
      <c r="J2421" s="51"/>
    </row>
    <row r="2422" spans="9:10" x14ac:dyDescent="0.25">
      <c r="I2422" s="51"/>
      <c r="J2422" s="51"/>
    </row>
    <row r="2423" spans="9:10" x14ac:dyDescent="0.25">
      <c r="I2423" s="51"/>
      <c r="J2423" s="51"/>
    </row>
    <row r="2424" spans="9:10" x14ac:dyDescent="0.25">
      <c r="I2424" s="51"/>
      <c r="J2424" s="51"/>
    </row>
    <row r="2425" spans="9:10" x14ac:dyDescent="0.25">
      <c r="I2425" s="51"/>
      <c r="J2425" s="51"/>
    </row>
    <row r="2426" spans="9:10" x14ac:dyDescent="0.25">
      <c r="I2426" s="51"/>
      <c r="J2426" s="51"/>
    </row>
    <row r="2427" spans="9:10" x14ac:dyDescent="0.25">
      <c r="I2427" s="51"/>
      <c r="J2427" s="51"/>
    </row>
    <row r="2428" spans="9:10" x14ac:dyDescent="0.25">
      <c r="I2428" s="51"/>
      <c r="J2428" s="51"/>
    </row>
    <row r="2429" spans="9:10" x14ac:dyDescent="0.25">
      <c r="I2429" s="51"/>
      <c r="J2429" s="51"/>
    </row>
    <row r="2430" spans="9:10" x14ac:dyDescent="0.25">
      <c r="I2430" s="51"/>
      <c r="J2430" s="51"/>
    </row>
    <row r="2431" spans="9:10" x14ac:dyDescent="0.25">
      <c r="I2431" s="51"/>
      <c r="J2431" s="51"/>
    </row>
    <row r="2432" spans="9:10" x14ac:dyDescent="0.25">
      <c r="I2432" s="51"/>
      <c r="J2432" s="51"/>
    </row>
    <row r="2433" spans="9:10" x14ac:dyDescent="0.25">
      <c r="I2433" s="51"/>
      <c r="J2433" s="51"/>
    </row>
    <row r="2434" spans="9:10" x14ac:dyDescent="0.25">
      <c r="I2434" s="51"/>
      <c r="J2434" s="51"/>
    </row>
    <row r="2435" spans="9:10" x14ac:dyDescent="0.25">
      <c r="I2435" s="51"/>
      <c r="J2435" s="51"/>
    </row>
    <row r="2436" spans="9:10" x14ac:dyDescent="0.25">
      <c r="I2436" s="51"/>
      <c r="J2436" s="51"/>
    </row>
    <row r="2437" spans="9:10" x14ac:dyDescent="0.25">
      <c r="I2437" s="51"/>
      <c r="J2437" s="51"/>
    </row>
    <row r="2438" spans="9:10" x14ac:dyDescent="0.25">
      <c r="I2438" s="51"/>
      <c r="J2438" s="51"/>
    </row>
    <row r="2439" spans="9:10" x14ac:dyDescent="0.25">
      <c r="I2439" s="51"/>
      <c r="J2439" s="51"/>
    </row>
    <row r="2440" spans="9:10" x14ac:dyDescent="0.25">
      <c r="I2440" s="51"/>
      <c r="J2440" s="51"/>
    </row>
    <row r="2441" spans="9:10" x14ac:dyDescent="0.25">
      <c r="I2441" s="51"/>
      <c r="J2441" s="51"/>
    </row>
    <row r="2442" spans="9:10" x14ac:dyDescent="0.25">
      <c r="I2442" s="51"/>
      <c r="J2442" s="51"/>
    </row>
    <row r="2443" spans="9:10" x14ac:dyDescent="0.25">
      <c r="I2443" s="51"/>
      <c r="J2443" s="51"/>
    </row>
    <row r="2444" spans="9:10" x14ac:dyDescent="0.25">
      <c r="I2444" s="51"/>
      <c r="J2444" s="51"/>
    </row>
    <row r="2445" spans="9:10" x14ac:dyDescent="0.25">
      <c r="I2445" s="51"/>
      <c r="J2445" s="51"/>
    </row>
    <row r="2446" spans="9:10" x14ac:dyDescent="0.25">
      <c r="I2446" s="51"/>
      <c r="J2446" s="51"/>
    </row>
    <row r="2447" spans="9:10" x14ac:dyDescent="0.25">
      <c r="I2447" s="51"/>
      <c r="J2447" s="51"/>
    </row>
    <row r="2448" spans="9:10" x14ac:dyDescent="0.25">
      <c r="I2448" s="51"/>
      <c r="J2448" s="51"/>
    </row>
    <row r="2449" spans="9:10" x14ac:dyDescent="0.25">
      <c r="I2449" s="51"/>
      <c r="J2449" s="51"/>
    </row>
    <row r="2450" spans="9:10" x14ac:dyDescent="0.25">
      <c r="I2450" s="51"/>
      <c r="J2450" s="51"/>
    </row>
    <row r="2451" spans="9:10" x14ac:dyDescent="0.25">
      <c r="I2451" s="51"/>
      <c r="J2451" s="51"/>
    </row>
    <row r="2452" spans="9:10" x14ac:dyDescent="0.25">
      <c r="I2452" s="51"/>
      <c r="J2452" s="51"/>
    </row>
    <row r="2453" spans="9:10" x14ac:dyDescent="0.25">
      <c r="I2453" s="51"/>
      <c r="J2453" s="51"/>
    </row>
    <row r="2454" spans="9:10" x14ac:dyDescent="0.25">
      <c r="I2454" s="51"/>
      <c r="J2454" s="51"/>
    </row>
    <row r="2455" spans="9:10" x14ac:dyDescent="0.25">
      <c r="I2455" s="51"/>
      <c r="J2455" s="51"/>
    </row>
    <row r="2456" spans="9:10" x14ac:dyDescent="0.25">
      <c r="I2456" s="51"/>
      <c r="J2456" s="51"/>
    </row>
    <row r="2457" spans="9:10" x14ac:dyDescent="0.25">
      <c r="I2457" s="51"/>
      <c r="J2457" s="51"/>
    </row>
    <row r="2458" spans="9:10" x14ac:dyDescent="0.25">
      <c r="I2458" s="51"/>
      <c r="J2458" s="51"/>
    </row>
    <row r="2459" spans="9:10" x14ac:dyDescent="0.25">
      <c r="I2459" s="51"/>
      <c r="J2459" s="51"/>
    </row>
    <row r="2460" spans="9:10" x14ac:dyDescent="0.25">
      <c r="I2460" s="51"/>
      <c r="J2460" s="51"/>
    </row>
    <row r="2461" spans="9:10" x14ac:dyDescent="0.25">
      <c r="I2461" s="51"/>
      <c r="J2461" s="51"/>
    </row>
    <row r="2462" spans="9:10" x14ac:dyDescent="0.25">
      <c r="I2462" s="51"/>
      <c r="J2462" s="51"/>
    </row>
    <row r="2463" spans="9:10" x14ac:dyDescent="0.25">
      <c r="I2463" s="51"/>
      <c r="J2463" s="51"/>
    </row>
    <row r="2464" spans="9:10" x14ac:dyDescent="0.25">
      <c r="I2464" s="51"/>
      <c r="J2464" s="51"/>
    </row>
    <row r="2465" spans="9:10" x14ac:dyDescent="0.25">
      <c r="I2465" s="51"/>
      <c r="J2465" s="51"/>
    </row>
    <row r="2466" spans="9:10" x14ac:dyDescent="0.25">
      <c r="I2466" s="51"/>
      <c r="J2466" s="51"/>
    </row>
    <row r="2467" spans="9:10" x14ac:dyDescent="0.25">
      <c r="I2467" s="51"/>
      <c r="J2467" s="51"/>
    </row>
    <row r="2468" spans="9:10" x14ac:dyDescent="0.25">
      <c r="I2468" s="51"/>
      <c r="J2468" s="51"/>
    </row>
    <row r="2469" spans="9:10" x14ac:dyDescent="0.25">
      <c r="I2469" s="51"/>
      <c r="J2469" s="51"/>
    </row>
    <row r="2470" spans="9:10" x14ac:dyDescent="0.25">
      <c r="I2470" s="51"/>
      <c r="J2470" s="51"/>
    </row>
    <row r="2471" spans="9:10" x14ac:dyDescent="0.25">
      <c r="I2471" s="51"/>
      <c r="J2471" s="51"/>
    </row>
    <row r="2472" spans="9:10" x14ac:dyDescent="0.25">
      <c r="I2472" s="51"/>
      <c r="J2472" s="51"/>
    </row>
    <row r="2473" spans="9:10" x14ac:dyDescent="0.25">
      <c r="I2473" s="51"/>
      <c r="J2473" s="51"/>
    </row>
    <row r="2474" spans="9:10" x14ac:dyDescent="0.25">
      <c r="I2474" s="51"/>
      <c r="J2474" s="51"/>
    </row>
    <row r="2475" spans="9:10" x14ac:dyDescent="0.25">
      <c r="I2475" s="51"/>
      <c r="J2475" s="51"/>
    </row>
    <row r="2476" spans="9:10" x14ac:dyDescent="0.25">
      <c r="I2476" s="51"/>
      <c r="J2476" s="51"/>
    </row>
    <row r="2477" spans="9:10" x14ac:dyDescent="0.25">
      <c r="I2477" s="51"/>
      <c r="J2477" s="51"/>
    </row>
    <row r="2478" spans="9:10" x14ac:dyDescent="0.25">
      <c r="I2478" s="51"/>
      <c r="J2478" s="51"/>
    </row>
    <row r="2479" spans="9:10" x14ac:dyDescent="0.25">
      <c r="I2479" s="51"/>
      <c r="J2479" s="51"/>
    </row>
    <row r="2480" spans="9:10" x14ac:dyDescent="0.25">
      <c r="I2480" s="51"/>
      <c r="J2480" s="51"/>
    </row>
    <row r="2481" spans="9:10" x14ac:dyDescent="0.25">
      <c r="I2481" s="51"/>
      <c r="J2481" s="51"/>
    </row>
    <row r="2482" spans="9:10" x14ac:dyDescent="0.25">
      <c r="I2482" s="51"/>
      <c r="J2482" s="51"/>
    </row>
    <row r="2483" spans="9:10" x14ac:dyDescent="0.25">
      <c r="I2483" s="51"/>
      <c r="J2483" s="51"/>
    </row>
    <row r="2484" spans="9:10" x14ac:dyDescent="0.25">
      <c r="I2484" s="51"/>
      <c r="J2484" s="51"/>
    </row>
    <row r="2485" spans="9:10" x14ac:dyDescent="0.25">
      <c r="I2485" s="51"/>
      <c r="J2485" s="51"/>
    </row>
    <row r="2486" spans="9:10" x14ac:dyDescent="0.25">
      <c r="I2486" s="51"/>
      <c r="J2486" s="51"/>
    </row>
    <row r="2487" spans="9:10" x14ac:dyDescent="0.25">
      <c r="I2487" s="51"/>
      <c r="J2487" s="51"/>
    </row>
    <row r="2488" spans="9:10" x14ac:dyDescent="0.25">
      <c r="I2488" s="51"/>
      <c r="J2488" s="51"/>
    </row>
    <row r="2489" spans="9:10" x14ac:dyDescent="0.25">
      <c r="I2489" s="51"/>
      <c r="J2489" s="51"/>
    </row>
    <row r="2490" spans="9:10" x14ac:dyDescent="0.25">
      <c r="I2490" s="51"/>
      <c r="J2490" s="51"/>
    </row>
    <row r="2491" spans="9:10" x14ac:dyDescent="0.25">
      <c r="I2491" s="51"/>
      <c r="J2491" s="51"/>
    </row>
    <row r="2492" spans="9:10" x14ac:dyDescent="0.25">
      <c r="I2492" s="51"/>
      <c r="J2492" s="51"/>
    </row>
    <row r="2493" spans="9:10" x14ac:dyDescent="0.25">
      <c r="I2493" s="51"/>
      <c r="J2493" s="51"/>
    </row>
    <row r="2494" spans="9:10" x14ac:dyDescent="0.25">
      <c r="I2494" s="51"/>
      <c r="J2494" s="51"/>
    </row>
    <row r="2495" spans="9:10" x14ac:dyDescent="0.25">
      <c r="I2495" s="51"/>
      <c r="J2495" s="51"/>
    </row>
    <row r="2496" spans="9:10" x14ac:dyDescent="0.25">
      <c r="I2496" s="51"/>
      <c r="J2496" s="51"/>
    </row>
    <row r="2497" spans="9:10" x14ac:dyDescent="0.25">
      <c r="I2497" s="51"/>
      <c r="J2497" s="51"/>
    </row>
    <row r="2498" spans="9:10" x14ac:dyDescent="0.25">
      <c r="I2498" s="51"/>
      <c r="J2498" s="51"/>
    </row>
    <row r="2499" spans="9:10" x14ac:dyDescent="0.25">
      <c r="I2499" s="51"/>
      <c r="J2499" s="51"/>
    </row>
    <row r="2500" spans="9:10" x14ac:dyDescent="0.25">
      <c r="I2500" s="51"/>
      <c r="J2500" s="51"/>
    </row>
    <row r="2501" spans="9:10" x14ac:dyDescent="0.25">
      <c r="I2501" s="51"/>
      <c r="J2501" s="51"/>
    </row>
    <row r="2502" spans="9:10" x14ac:dyDescent="0.25">
      <c r="I2502" s="51"/>
      <c r="J2502" s="51"/>
    </row>
    <row r="2503" spans="9:10" x14ac:dyDescent="0.25">
      <c r="I2503" s="51"/>
      <c r="J2503" s="51"/>
    </row>
    <row r="2504" spans="9:10" x14ac:dyDescent="0.25">
      <c r="I2504" s="51"/>
      <c r="J2504" s="51"/>
    </row>
    <row r="2505" spans="9:10" x14ac:dyDescent="0.25">
      <c r="I2505" s="51"/>
      <c r="J2505" s="51"/>
    </row>
    <row r="2506" spans="9:10" x14ac:dyDescent="0.25">
      <c r="I2506" s="51"/>
      <c r="J2506" s="51"/>
    </row>
    <row r="2507" spans="9:10" x14ac:dyDescent="0.25">
      <c r="I2507" s="51"/>
      <c r="J2507" s="51"/>
    </row>
    <row r="2508" spans="9:10" x14ac:dyDescent="0.25">
      <c r="I2508" s="51"/>
      <c r="J2508" s="51"/>
    </row>
    <row r="2509" spans="9:10" x14ac:dyDescent="0.25">
      <c r="I2509" s="51"/>
      <c r="J2509" s="51"/>
    </row>
    <row r="2510" spans="9:10" x14ac:dyDescent="0.25">
      <c r="I2510" s="51"/>
      <c r="J2510" s="51"/>
    </row>
    <row r="2511" spans="9:10" x14ac:dyDescent="0.25">
      <c r="I2511" s="51"/>
      <c r="J2511" s="51"/>
    </row>
    <row r="2512" spans="9:10" x14ac:dyDescent="0.25">
      <c r="I2512" s="51"/>
      <c r="J2512" s="51"/>
    </row>
    <row r="2513" spans="9:10" x14ac:dyDescent="0.25">
      <c r="I2513" s="51"/>
      <c r="J2513" s="51"/>
    </row>
    <row r="2514" spans="9:10" x14ac:dyDescent="0.25">
      <c r="I2514" s="51"/>
      <c r="J2514" s="51"/>
    </row>
    <row r="2515" spans="9:10" x14ac:dyDescent="0.25">
      <c r="I2515" s="51"/>
      <c r="J2515" s="51"/>
    </row>
    <row r="2516" spans="9:10" x14ac:dyDescent="0.25">
      <c r="I2516" s="51"/>
      <c r="J2516" s="51"/>
    </row>
    <row r="2517" spans="9:10" x14ac:dyDescent="0.25">
      <c r="I2517" s="51"/>
      <c r="J2517" s="51"/>
    </row>
    <row r="2518" spans="9:10" x14ac:dyDescent="0.25">
      <c r="I2518" s="51"/>
      <c r="J2518" s="51"/>
    </row>
    <row r="2519" spans="9:10" x14ac:dyDescent="0.25">
      <c r="I2519" s="51"/>
      <c r="J2519" s="51"/>
    </row>
    <row r="2520" spans="9:10" x14ac:dyDescent="0.25">
      <c r="I2520" s="51"/>
      <c r="J2520" s="51"/>
    </row>
    <row r="2521" spans="9:10" x14ac:dyDescent="0.25">
      <c r="I2521" s="51"/>
      <c r="J2521" s="51"/>
    </row>
    <row r="2522" spans="9:10" x14ac:dyDescent="0.25">
      <c r="I2522" s="51"/>
      <c r="J2522" s="51"/>
    </row>
    <row r="2523" spans="9:10" x14ac:dyDescent="0.25">
      <c r="I2523" s="51"/>
      <c r="J2523" s="51"/>
    </row>
    <row r="2524" spans="9:10" x14ac:dyDescent="0.25">
      <c r="I2524" s="51"/>
      <c r="J2524" s="51"/>
    </row>
    <row r="2525" spans="9:10" x14ac:dyDescent="0.25">
      <c r="I2525" s="51"/>
      <c r="J2525" s="51"/>
    </row>
    <row r="2526" spans="9:10" x14ac:dyDescent="0.25">
      <c r="I2526" s="51"/>
      <c r="J2526" s="51"/>
    </row>
    <row r="2527" spans="9:10" x14ac:dyDescent="0.25">
      <c r="I2527" s="51"/>
      <c r="J2527" s="51"/>
    </row>
    <row r="2528" spans="9:10" x14ac:dyDescent="0.25">
      <c r="I2528" s="51"/>
      <c r="J2528" s="51"/>
    </row>
    <row r="2529" spans="9:10" x14ac:dyDescent="0.25">
      <c r="I2529" s="51"/>
      <c r="J2529" s="51"/>
    </row>
    <row r="2530" spans="9:10" x14ac:dyDescent="0.25">
      <c r="I2530" s="51"/>
      <c r="J2530" s="51"/>
    </row>
    <row r="2531" spans="9:10" x14ac:dyDescent="0.25">
      <c r="I2531" s="51"/>
      <c r="J2531" s="51"/>
    </row>
    <row r="2532" spans="9:10" x14ac:dyDescent="0.25">
      <c r="I2532" s="51"/>
      <c r="J2532" s="51"/>
    </row>
    <row r="2533" spans="9:10" x14ac:dyDescent="0.25">
      <c r="I2533" s="51"/>
      <c r="J2533" s="51"/>
    </row>
    <row r="2534" spans="9:10" x14ac:dyDescent="0.25">
      <c r="I2534" s="51"/>
      <c r="J2534" s="51"/>
    </row>
    <row r="2535" spans="9:10" x14ac:dyDescent="0.25">
      <c r="I2535" s="51"/>
      <c r="J2535" s="51"/>
    </row>
    <row r="2536" spans="9:10" x14ac:dyDescent="0.25">
      <c r="I2536" s="51"/>
      <c r="J2536" s="51"/>
    </row>
    <row r="2537" spans="9:10" x14ac:dyDescent="0.25">
      <c r="I2537" s="51"/>
      <c r="J2537" s="51"/>
    </row>
    <row r="2538" spans="9:10" x14ac:dyDescent="0.25">
      <c r="I2538" s="51"/>
      <c r="J2538" s="51"/>
    </row>
    <row r="2539" spans="9:10" x14ac:dyDescent="0.25">
      <c r="I2539" s="51"/>
      <c r="J2539" s="51"/>
    </row>
    <row r="2540" spans="9:10" x14ac:dyDescent="0.25">
      <c r="I2540" s="51"/>
      <c r="J2540" s="51"/>
    </row>
    <row r="2541" spans="9:10" x14ac:dyDescent="0.25">
      <c r="I2541" s="51"/>
      <c r="J2541" s="51"/>
    </row>
    <row r="2542" spans="9:10" x14ac:dyDescent="0.25">
      <c r="I2542" s="51"/>
      <c r="J2542" s="51"/>
    </row>
    <row r="2543" spans="9:10" x14ac:dyDescent="0.25">
      <c r="I2543" s="51"/>
      <c r="J2543" s="51"/>
    </row>
    <row r="2544" spans="9:10" x14ac:dyDescent="0.25">
      <c r="I2544" s="51"/>
      <c r="J2544" s="51"/>
    </row>
    <row r="2545" spans="9:10" x14ac:dyDescent="0.25">
      <c r="I2545" s="51"/>
      <c r="J2545" s="51"/>
    </row>
    <row r="2546" spans="9:10" x14ac:dyDescent="0.25">
      <c r="I2546" s="51"/>
      <c r="J2546" s="51"/>
    </row>
    <row r="2547" spans="9:10" x14ac:dyDescent="0.25">
      <c r="I2547" s="51"/>
      <c r="J2547" s="51"/>
    </row>
    <row r="2548" spans="9:10" x14ac:dyDescent="0.25">
      <c r="I2548" s="51"/>
      <c r="J2548" s="51"/>
    </row>
    <row r="2549" spans="9:10" x14ac:dyDescent="0.25">
      <c r="I2549" s="51"/>
      <c r="J2549" s="51"/>
    </row>
    <row r="2550" spans="9:10" x14ac:dyDescent="0.25">
      <c r="I2550" s="51"/>
      <c r="J2550" s="51"/>
    </row>
    <row r="2551" spans="9:10" x14ac:dyDescent="0.25">
      <c r="I2551" s="51"/>
      <c r="J2551" s="51"/>
    </row>
    <row r="2552" spans="9:10" x14ac:dyDescent="0.25">
      <c r="I2552" s="51"/>
      <c r="J2552" s="51"/>
    </row>
    <row r="2553" spans="9:10" x14ac:dyDescent="0.25">
      <c r="I2553" s="51"/>
      <c r="J2553" s="51"/>
    </row>
    <row r="2554" spans="9:10" x14ac:dyDescent="0.25">
      <c r="I2554" s="51"/>
      <c r="J2554" s="51"/>
    </row>
    <row r="2555" spans="9:10" x14ac:dyDescent="0.25">
      <c r="I2555" s="51"/>
      <c r="J2555" s="51"/>
    </row>
    <row r="2556" spans="9:10" x14ac:dyDescent="0.25">
      <c r="I2556" s="51"/>
      <c r="J2556" s="51"/>
    </row>
    <row r="2557" spans="9:10" x14ac:dyDescent="0.25">
      <c r="I2557" s="51"/>
      <c r="J2557" s="51"/>
    </row>
    <row r="2558" spans="9:10" x14ac:dyDescent="0.25">
      <c r="I2558" s="51"/>
      <c r="J2558" s="51"/>
    </row>
    <row r="2559" spans="9:10" x14ac:dyDescent="0.25">
      <c r="I2559" s="51"/>
      <c r="J2559" s="51"/>
    </row>
    <row r="2560" spans="9:10" x14ac:dyDescent="0.25">
      <c r="I2560" s="51"/>
      <c r="J2560" s="51"/>
    </row>
    <row r="2561" spans="9:10" x14ac:dyDescent="0.25">
      <c r="I2561" s="51"/>
      <c r="J2561" s="51"/>
    </row>
    <row r="2562" spans="9:10" x14ac:dyDescent="0.25">
      <c r="I2562" s="51"/>
      <c r="J2562" s="51"/>
    </row>
    <row r="2563" spans="9:10" x14ac:dyDescent="0.25">
      <c r="I2563" s="51"/>
      <c r="J2563" s="51"/>
    </row>
    <row r="2564" spans="9:10" x14ac:dyDescent="0.25">
      <c r="I2564" s="51"/>
      <c r="J2564" s="51"/>
    </row>
    <row r="2565" spans="9:10" x14ac:dyDescent="0.25">
      <c r="I2565" s="51"/>
      <c r="J2565" s="51"/>
    </row>
    <row r="2566" spans="9:10" x14ac:dyDescent="0.25">
      <c r="I2566" s="51"/>
      <c r="J2566" s="51"/>
    </row>
    <row r="2567" spans="9:10" x14ac:dyDescent="0.25">
      <c r="I2567" s="51"/>
      <c r="J2567" s="51"/>
    </row>
    <row r="2568" spans="9:10" x14ac:dyDescent="0.25">
      <c r="I2568" s="51"/>
      <c r="J2568" s="51"/>
    </row>
    <row r="2569" spans="9:10" x14ac:dyDescent="0.25">
      <c r="I2569" s="51"/>
      <c r="J2569" s="51"/>
    </row>
    <row r="2570" spans="9:10" x14ac:dyDescent="0.25">
      <c r="I2570" s="51"/>
      <c r="J2570" s="51"/>
    </row>
    <row r="2571" spans="9:10" x14ac:dyDescent="0.25">
      <c r="I2571" s="51"/>
      <c r="J2571" s="51"/>
    </row>
    <row r="2572" spans="9:10" x14ac:dyDescent="0.25">
      <c r="I2572" s="51"/>
      <c r="J2572" s="51"/>
    </row>
    <row r="2573" spans="9:10" x14ac:dyDescent="0.25">
      <c r="I2573" s="51"/>
      <c r="J2573" s="51"/>
    </row>
    <row r="2574" spans="9:10" x14ac:dyDescent="0.25">
      <c r="I2574" s="51"/>
      <c r="J2574" s="51"/>
    </row>
    <row r="2575" spans="9:10" x14ac:dyDescent="0.25">
      <c r="I2575" s="51"/>
      <c r="J2575" s="51"/>
    </row>
    <row r="2576" spans="9:10" x14ac:dyDescent="0.25">
      <c r="I2576" s="51"/>
      <c r="J2576" s="51"/>
    </row>
    <row r="2577" spans="9:10" x14ac:dyDescent="0.25">
      <c r="I2577" s="51"/>
      <c r="J2577" s="51"/>
    </row>
    <row r="2578" spans="9:10" x14ac:dyDescent="0.25">
      <c r="I2578" s="51"/>
      <c r="J2578" s="51"/>
    </row>
    <row r="2579" spans="9:10" x14ac:dyDescent="0.25">
      <c r="I2579" s="51"/>
      <c r="J2579" s="51"/>
    </row>
    <row r="2580" spans="9:10" x14ac:dyDescent="0.25">
      <c r="I2580" s="51"/>
      <c r="J2580" s="51"/>
    </row>
    <row r="2581" spans="9:10" x14ac:dyDescent="0.25">
      <c r="I2581" s="51"/>
      <c r="J2581" s="51"/>
    </row>
    <row r="2582" spans="9:10" x14ac:dyDescent="0.25">
      <c r="I2582" s="51"/>
      <c r="J2582" s="51"/>
    </row>
    <row r="2583" spans="9:10" x14ac:dyDescent="0.25">
      <c r="I2583" s="51"/>
      <c r="J2583" s="51"/>
    </row>
    <row r="2584" spans="9:10" x14ac:dyDescent="0.25">
      <c r="I2584" s="51"/>
      <c r="J2584" s="51"/>
    </row>
    <row r="2585" spans="9:10" x14ac:dyDescent="0.25">
      <c r="I2585" s="51"/>
      <c r="J2585" s="51"/>
    </row>
    <row r="2586" spans="9:10" x14ac:dyDescent="0.25">
      <c r="I2586" s="51"/>
      <c r="J2586" s="51"/>
    </row>
    <row r="2587" spans="9:10" x14ac:dyDescent="0.25">
      <c r="I2587" s="51"/>
      <c r="J2587" s="51"/>
    </row>
    <row r="2588" spans="9:10" x14ac:dyDescent="0.25">
      <c r="I2588" s="51"/>
      <c r="J2588" s="51"/>
    </row>
    <row r="2589" spans="9:10" x14ac:dyDescent="0.25">
      <c r="I2589" s="51"/>
      <c r="J2589" s="51"/>
    </row>
    <row r="2590" spans="9:10" x14ac:dyDescent="0.25">
      <c r="I2590" s="51"/>
      <c r="J2590" s="51"/>
    </row>
    <row r="2591" spans="9:10" x14ac:dyDescent="0.25">
      <c r="I2591" s="51"/>
      <c r="J2591" s="51"/>
    </row>
    <row r="2592" spans="9:10" x14ac:dyDescent="0.25">
      <c r="I2592" s="51"/>
      <c r="J2592" s="51"/>
    </row>
    <row r="2593" spans="9:10" x14ac:dyDescent="0.25">
      <c r="I2593" s="51"/>
      <c r="J2593" s="51"/>
    </row>
    <row r="2594" spans="9:10" x14ac:dyDescent="0.25">
      <c r="I2594" s="51"/>
      <c r="J2594" s="51"/>
    </row>
    <row r="2595" spans="9:10" x14ac:dyDescent="0.25">
      <c r="I2595" s="51"/>
      <c r="J2595" s="51"/>
    </row>
    <row r="2596" spans="9:10" x14ac:dyDescent="0.25">
      <c r="I2596" s="51"/>
      <c r="J2596" s="51"/>
    </row>
    <row r="2597" spans="9:10" x14ac:dyDescent="0.25">
      <c r="I2597" s="51"/>
      <c r="J2597" s="51"/>
    </row>
    <row r="2598" spans="9:10" x14ac:dyDescent="0.25">
      <c r="I2598" s="51"/>
      <c r="J2598" s="51"/>
    </row>
    <row r="2599" spans="9:10" x14ac:dyDescent="0.25">
      <c r="I2599" s="51"/>
      <c r="J2599" s="51"/>
    </row>
    <row r="2600" spans="9:10" x14ac:dyDescent="0.25">
      <c r="I2600" s="51"/>
      <c r="J2600" s="51"/>
    </row>
    <row r="2601" spans="9:10" x14ac:dyDescent="0.25">
      <c r="I2601" s="51"/>
      <c r="J2601" s="51"/>
    </row>
    <row r="2602" spans="9:10" x14ac:dyDescent="0.25">
      <c r="I2602" s="51"/>
      <c r="J2602" s="51"/>
    </row>
    <row r="2603" spans="9:10" x14ac:dyDescent="0.25">
      <c r="I2603" s="51"/>
      <c r="J2603" s="51"/>
    </row>
    <row r="2604" spans="9:10" x14ac:dyDescent="0.25">
      <c r="I2604" s="51"/>
      <c r="J2604" s="51"/>
    </row>
    <row r="2605" spans="9:10" x14ac:dyDescent="0.25">
      <c r="I2605" s="51"/>
      <c r="J2605" s="51"/>
    </row>
    <row r="2606" spans="9:10" x14ac:dyDescent="0.25">
      <c r="I2606" s="51"/>
      <c r="J2606" s="51"/>
    </row>
    <row r="2607" spans="9:10" x14ac:dyDescent="0.25">
      <c r="I2607" s="51"/>
      <c r="J2607" s="51"/>
    </row>
    <row r="2608" spans="9:10" x14ac:dyDescent="0.25">
      <c r="I2608" s="51"/>
      <c r="J2608" s="51"/>
    </row>
    <row r="2609" spans="9:10" x14ac:dyDescent="0.25">
      <c r="I2609" s="51"/>
      <c r="J2609" s="51"/>
    </row>
    <row r="2610" spans="9:10" x14ac:dyDescent="0.25">
      <c r="I2610" s="51"/>
      <c r="J2610" s="51"/>
    </row>
    <row r="2611" spans="9:10" x14ac:dyDescent="0.25">
      <c r="I2611" s="51"/>
      <c r="J2611" s="51"/>
    </row>
    <row r="2612" spans="9:10" x14ac:dyDescent="0.25">
      <c r="I2612" s="51"/>
      <c r="J2612" s="51"/>
    </row>
    <row r="2613" spans="9:10" x14ac:dyDescent="0.25">
      <c r="I2613" s="51"/>
      <c r="J2613" s="51"/>
    </row>
    <row r="2614" spans="9:10" x14ac:dyDescent="0.25">
      <c r="I2614" s="51"/>
      <c r="J2614" s="51"/>
    </row>
    <row r="2615" spans="9:10" x14ac:dyDescent="0.25">
      <c r="I2615" s="51"/>
      <c r="J2615" s="51"/>
    </row>
    <row r="2616" spans="9:10" x14ac:dyDescent="0.25">
      <c r="I2616" s="51"/>
      <c r="J2616" s="51"/>
    </row>
    <row r="2617" spans="9:10" x14ac:dyDescent="0.25">
      <c r="I2617" s="51"/>
      <c r="J2617" s="51"/>
    </row>
    <row r="2618" spans="9:10" x14ac:dyDescent="0.25">
      <c r="I2618" s="51"/>
      <c r="J2618" s="51"/>
    </row>
    <row r="2619" spans="9:10" x14ac:dyDescent="0.25">
      <c r="I2619" s="51"/>
      <c r="J2619" s="51"/>
    </row>
    <row r="2620" spans="9:10" x14ac:dyDescent="0.25">
      <c r="I2620" s="51"/>
      <c r="J2620" s="51"/>
    </row>
    <row r="2621" spans="9:10" x14ac:dyDescent="0.25">
      <c r="I2621" s="51"/>
      <c r="J2621" s="51"/>
    </row>
    <row r="2622" spans="9:10" x14ac:dyDescent="0.25">
      <c r="I2622" s="51"/>
      <c r="J2622" s="51"/>
    </row>
    <row r="2623" spans="9:10" x14ac:dyDescent="0.25">
      <c r="I2623" s="51"/>
      <c r="J2623" s="51"/>
    </row>
    <row r="2624" spans="9:10" x14ac:dyDescent="0.25">
      <c r="I2624" s="51"/>
      <c r="J2624" s="51"/>
    </row>
    <row r="2625" spans="9:10" x14ac:dyDescent="0.25">
      <c r="I2625" s="51"/>
      <c r="J2625" s="51"/>
    </row>
    <row r="2626" spans="9:10" x14ac:dyDescent="0.25">
      <c r="I2626" s="51"/>
      <c r="J2626" s="51"/>
    </row>
    <row r="2627" spans="9:10" x14ac:dyDescent="0.25">
      <c r="I2627" s="51"/>
      <c r="J2627" s="51"/>
    </row>
    <row r="2628" spans="9:10" x14ac:dyDescent="0.25">
      <c r="I2628" s="51"/>
      <c r="J2628" s="51"/>
    </row>
    <row r="2629" spans="9:10" x14ac:dyDescent="0.25">
      <c r="I2629" s="51"/>
      <c r="J2629" s="51"/>
    </row>
    <row r="2630" spans="9:10" x14ac:dyDescent="0.25">
      <c r="I2630" s="51"/>
      <c r="J2630" s="51"/>
    </row>
    <row r="2631" spans="9:10" x14ac:dyDescent="0.25">
      <c r="I2631" s="51"/>
      <c r="J2631" s="51"/>
    </row>
    <row r="2632" spans="9:10" x14ac:dyDescent="0.25">
      <c r="I2632" s="51"/>
      <c r="J2632" s="51"/>
    </row>
    <row r="2633" spans="9:10" x14ac:dyDescent="0.25">
      <c r="I2633" s="51"/>
      <c r="J2633" s="51"/>
    </row>
    <row r="2634" spans="9:10" x14ac:dyDescent="0.25">
      <c r="I2634" s="51"/>
      <c r="J2634" s="51"/>
    </row>
    <row r="2635" spans="9:10" x14ac:dyDescent="0.25">
      <c r="I2635" s="51"/>
      <c r="J2635" s="51"/>
    </row>
    <row r="2636" spans="9:10" x14ac:dyDescent="0.25">
      <c r="I2636" s="51"/>
      <c r="J2636" s="51"/>
    </row>
    <row r="2637" spans="9:10" x14ac:dyDescent="0.25">
      <c r="I2637" s="51"/>
      <c r="J2637" s="51"/>
    </row>
    <row r="2638" spans="9:10" x14ac:dyDescent="0.25">
      <c r="I2638" s="51"/>
      <c r="J2638" s="51"/>
    </row>
    <row r="2639" spans="9:10" x14ac:dyDescent="0.25">
      <c r="I2639" s="51"/>
      <c r="J2639" s="51"/>
    </row>
    <row r="2640" spans="9:10" x14ac:dyDescent="0.25">
      <c r="I2640" s="51"/>
      <c r="J2640" s="51"/>
    </row>
    <row r="2641" spans="9:10" x14ac:dyDescent="0.25">
      <c r="I2641" s="51"/>
      <c r="J2641" s="51"/>
    </row>
    <row r="2642" spans="9:10" x14ac:dyDescent="0.25">
      <c r="I2642" s="51"/>
      <c r="J2642" s="51"/>
    </row>
    <row r="2643" spans="9:10" x14ac:dyDescent="0.25">
      <c r="I2643" s="51"/>
      <c r="J2643" s="51"/>
    </row>
    <row r="2644" spans="9:10" x14ac:dyDescent="0.25">
      <c r="I2644" s="51"/>
      <c r="J2644" s="51"/>
    </row>
    <row r="2645" spans="9:10" x14ac:dyDescent="0.25">
      <c r="I2645" s="51"/>
      <c r="J2645" s="51"/>
    </row>
    <row r="2646" spans="9:10" x14ac:dyDescent="0.25">
      <c r="I2646" s="51"/>
      <c r="J2646" s="51"/>
    </row>
    <row r="2647" spans="9:10" x14ac:dyDescent="0.25">
      <c r="I2647" s="51"/>
      <c r="J2647" s="51"/>
    </row>
    <row r="2648" spans="9:10" x14ac:dyDescent="0.25">
      <c r="I2648" s="51"/>
      <c r="J2648" s="51"/>
    </row>
    <row r="2649" spans="9:10" x14ac:dyDescent="0.25">
      <c r="I2649" s="51"/>
      <c r="J2649" s="51"/>
    </row>
    <row r="2650" spans="9:10" x14ac:dyDescent="0.25">
      <c r="I2650" s="51"/>
      <c r="J2650" s="51"/>
    </row>
    <row r="2651" spans="9:10" x14ac:dyDescent="0.25">
      <c r="I2651" s="51"/>
      <c r="J2651" s="51"/>
    </row>
    <row r="2652" spans="9:10" x14ac:dyDescent="0.25">
      <c r="I2652" s="51"/>
      <c r="J2652" s="51"/>
    </row>
    <row r="2653" spans="9:10" x14ac:dyDescent="0.25">
      <c r="I2653" s="51"/>
      <c r="J2653" s="51"/>
    </row>
    <row r="2654" spans="9:10" x14ac:dyDescent="0.25">
      <c r="I2654" s="51"/>
      <c r="J2654" s="51"/>
    </row>
    <row r="2655" spans="9:10" x14ac:dyDescent="0.25">
      <c r="I2655" s="51"/>
      <c r="J2655" s="51"/>
    </row>
    <row r="2656" spans="9:10" x14ac:dyDescent="0.25">
      <c r="I2656" s="51"/>
      <c r="J2656" s="51"/>
    </row>
    <row r="2657" spans="9:10" x14ac:dyDescent="0.25">
      <c r="I2657" s="51"/>
      <c r="J2657" s="51"/>
    </row>
    <row r="2658" spans="9:10" x14ac:dyDescent="0.25">
      <c r="I2658" s="51"/>
      <c r="J2658" s="51"/>
    </row>
    <row r="2659" spans="9:10" x14ac:dyDescent="0.25">
      <c r="I2659" s="51"/>
      <c r="J2659" s="51"/>
    </row>
    <row r="2660" spans="9:10" x14ac:dyDescent="0.25">
      <c r="I2660" s="51"/>
      <c r="J2660" s="51"/>
    </row>
    <row r="2661" spans="9:10" x14ac:dyDescent="0.25">
      <c r="I2661" s="51"/>
      <c r="J2661" s="51"/>
    </row>
    <row r="2662" spans="9:10" x14ac:dyDescent="0.25">
      <c r="I2662" s="51"/>
      <c r="J2662" s="51"/>
    </row>
    <row r="2663" spans="9:10" x14ac:dyDescent="0.25">
      <c r="I2663" s="51"/>
      <c r="J2663" s="51"/>
    </row>
    <row r="2664" spans="9:10" x14ac:dyDescent="0.25">
      <c r="I2664" s="51"/>
      <c r="J2664" s="51"/>
    </row>
    <row r="2665" spans="9:10" x14ac:dyDescent="0.25">
      <c r="I2665" s="51"/>
      <c r="J2665" s="51"/>
    </row>
    <row r="2666" spans="9:10" x14ac:dyDescent="0.25">
      <c r="I2666" s="51"/>
      <c r="J2666" s="51"/>
    </row>
    <row r="2667" spans="9:10" x14ac:dyDescent="0.25">
      <c r="I2667" s="51"/>
      <c r="J2667" s="51"/>
    </row>
    <row r="2668" spans="9:10" x14ac:dyDescent="0.25">
      <c r="I2668" s="51"/>
      <c r="J2668" s="51"/>
    </row>
    <row r="2669" spans="9:10" x14ac:dyDescent="0.25">
      <c r="I2669" s="51"/>
      <c r="J2669" s="51"/>
    </row>
    <row r="2670" spans="9:10" x14ac:dyDescent="0.25">
      <c r="I2670" s="51"/>
      <c r="J2670" s="51"/>
    </row>
    <row r="2671" spans="9:10" x14ac:dyDescent="0.25">
      <c r="I2671" s="51"/>
      <c r="J2671" s="51"/>
    </row>
    <row r="2672" spans="9:10" x14ac:dyDescent="0.25">
      <c r="I2672" s="51"/>
      <c r="J2672" s="51"/>
    </row>
    <row r="2673" spans="9:10" x14ac:dyDescent="0.25">
      <c r="I2673" s="51"/>
      <c r="J2673" s="51"/>
    </row>
    <row r="2674" spans="9:10" x14ac:dyDescent="0.25">
      <c r="I2674" s="51"/>
      <c r="J2674" s="51"/>
    </row>
    <row r="2675" spans="9:10" x14ac:dyDescent="0.25">
      <c r="I2675" s="51"/>
      <c r="J2675" s="51"/>
    </row>
    <row r="2676" spans="9:10" x14ac:dyDescent="0.25">
      <c r="I2676" s="51"/>
      <c r="J2676" s="51"/>
    </row>
    <row r="2677" spans="9:10" x14ac:dyDescent="0.25">
      <c r="I2677" s="51"/>
      <c r="J2677" s="51"/>
    </row>
    <row r="2678" spans="9:10" x14ac:dyDescent="0.25">
      <c r="I2678" s="51"/>
      <c r="J2678" s="51"/>
    </row>
    <row r="2679" spans="9:10" x14ac:dyDescent="0.25">
      <c r="I2679" s="51"/>
      <c r="J2679" s="51"/>
    </row>
    <row r="2680" spans="9:10" x14ac:dyDescent="0.25">
      <c r="I2680" s="51"/>
      <c r="J2680" s="51"/>
    </row>
    <row r="2681" spans="9:10" x14ac:dyDescent="0.25">
      <c r="I2681" s="51"/>
      <c r="J2681" s="51"/>
    </row>
    <row r="2682" spans="9:10" x14ac:dyDescent="0.25">
      <c r="I2682" s="51"/>
      <c r="J2682" s="51"/>
    </row>
    <row r="2683" spans="9:10" x14ac:dyDescent="0.25">
      <c r="I2683" s="51"/>
      <c r="J2683" s="51"/>
    </row>
    <row r="2684" spans="9:10" x14ac:dyDescent="0.25">
      <c r="I2684" s="51"/>
      <c r="J2684" s="51"/>
    </row>
    <row r="2685" spans="9:10" x14ac:dyDescent="0.25">
      <c r="I2685" s="51"/>
      <c r="J2685" s="51"/>
    </row>
    <row r="2686" spans="9:10" x14ac:dyDescent="0.25">
      <c r="I2686" s="51"/>
      <c r="J2686" s="51"/>
    </row>
    <row r="2687" spans="9:10" x14ac:dyDescent="0.25">
      <c r="I2687" s="51"/>
      <c r="J2687" s="51"/>
    </row>
    <row r="2688" spans="9:10" x14ac:dyDescent="0.25">
      <c r="I2688" s="51"/>
      <c r="J2688" s="51"/>
    </row>
    <row r="2689" spans="9:10" x14ac:dyDescent="0.25">
      <c r="I2689" s="51"/>
      <c r="J2689" s="51"/>
    </row>
    <row r="2690" spans="9:10" x14ac:dyDescent="0.25">
      <c r="I2690" s="51"/>
      <c r="J2690" s="51"/>
    </row>
    <row r="2691" spans="9:10" x14ac:dyDescent="0.25">
      <c r="I2691" s="51"/>
      <c r="J2691" s="51"/>
    </row>
    <row r="2692" spans="9:10" x14ac:dyDescent="0.25">
      <c r="I2692" s="51"/>
      <c r="J2692" s="51"/>
    </row>
    <row r="2693" spans="9:10" x14ac:dyDescent="0.25">
      <c r="I2693" s="51"/>
      <c r="J2693" s="51"/>
    </row>
    <row r="2694" spans="9:10" x14ac:dyDescent="0.25">
      <c r="I2694" s="51"/>
      <c r="J2694" s="51"/>
    </row>
    <row r="2695" spans="9:10" x14ac:dyDescent="0.25">
      <c r="I2695" s="51"/>
      <c r="J2695" s="51"/>
    </row>
    <row r="2696" spans="9:10" x14ac:dyDescent="0.25">
      <c r="I2696" s="51"/>
      <c r="J2696" s="51"/>
    </row>
    <row r="2697" spans="9:10" x14ac:dyDescent="0.25">
      <c r="I2697" s="51"/>
      <c r="J2697" s="51"/>
    </row>
    <row r="2698" spans="9:10" x14ac:dyDescent="0.25">
      <c r="I2698" s="51"/>
      <c r="J2698" s="51"/>
    </row>
    <row r="2699" spans="9:10" x14ac:dyDescent="0.25">
      <c r="I2699" s="51"/>
      <c r="J2699" s="51"/>
    </row>
    <row r="2700" spans="9:10" x14ac:dyDescent="0.25">
      <c r="I2700" s="51"/>
      <c r="J2700" s="51"/>
    </row>
    <row r="2701" spans="9:10" x14ac:dyDescent="0.25">
      <c r="I2701" s="51"/>
      <c r="J2701" s="51"/>
    </row>
    <row r="2702" spans="9:10" x14ac:dyDescent="0.25">
      <c r="I2702" s="51"/>
      <c r="J2702" s="51"/>
    </row>
    <row r="2703" spans="9:10" x14ac:dyDescent="0.25">
      <c r="I2703" s="51"/>
      <c r="J2703" s="51"/>
    </row>
    <row r="2704" spans="9:10" x14ac:dyDescent="0.25">
      <c r="I2704" s="51"/>
      <c r="J2704" s="51"/>
    </row>
    <row r="2705" spans="9:10" x14ac:dyDescent="0.25">
      <c r="I2705" s="51"/>
      <c r="J2705" s="51"/>
    </row>
    <row r="2706" spans="9:10" x14ac:dyDescent="0.25">
      <c r="I2706" s="51"/>
      <c r="J2706" s="51"/>
    </row>
    <row r="2707" spans="9:10" x14ac:dyDescent="0.25">
      <c r="I2707" s="51"/>
      <c r="J2707" s="51"/>
    </row>
    <row r="2708" spans="9:10" x14ac:dyDescent="0.25">
      <c r="I2708" s="51"/>
      <c r="J2708" s="51"/>
    </row>
    <row r="2709" spans="9:10" x14ac:dyDescent="0.25">
      <c r="I2709" s="51"/>
      <c r="J2709" s="51"/>
    </row>
    <row r="2710" spans="9:10" x14ac:dyDescent="0.25">
      <c r="I2710" s="51"/>
      <c r="J2710" s="51"/>
    </row>
    <row r="2711" spans="9:10" x14ac:dyDescent="0.25">
      <c r="I2711" s="51"/>
      <c r="J2711" s="51"/>
    </row>
    <row r="2712" spans="9:10" x14ac:dyDescent="0.25">
      <c r="I2712" s="51"/>
      <c r="J2712" s="51"/>
    </row>
    <row r="2713" spans="9:10" x14ac:dyDescent="0.25">
      <c r="I2713" s="51"/>
      <c r="J2713" s="51"/>
    </row>
    <row r="2714" spans="9:10" x14ac:dyDescent="0.25">
      <c r="I2714" s="51"/>
      <c r="J2714" s="51"/>
    </row>
    <row r="2715" spans="9:10" x14ac:dyDescent="0.25">
      <c r="I2715" s="51"/>
      <c r="J2715" s="51"/>
    </row>
    <row r="2716" spans="9:10" x14ac:dyDescent="0.25">
      <c r="I2716" s="51"/>
      <c r="J2716" s="51"/>
    </row>
    <row r="2717" spans="9:10" x14ac:dyDescent="0.25">
      <c r="I2717" s="51"/>
      <c r="J2717" s="51"/>
    </row>
    <row r="2718" spans="9:10" x14ac:dyDescent="0.25">
      <c r="I2718" s="51"/>
      <c r="J2718" s="51"/>
    </row>
    <row r="2719" spans="9:10" x14ac:dyDescent="0.25">
      <c r="I2719" s="51"/>
      <c r="J2719" s="51"/>
    </row>
    <row r="2720" spans="9:10" x14ac:dyDescent="0.25">
      <c r="I2720" s="51"/>
      <c r="J2720" s="51"/>
    </row>
    <row r="2721" spans="9:10" x14ac:dyDescent="0.25">
      <c r="I2721" s="51"/>
      <c r="J2721" s="51"/>
    </row>
    <row r="2722" spans="9:10" x14ac:dyDescent="0.25">
      <c r="I2722" s="51"/>
      <c r="J2722" s="51"/>
    </row>
    <row r="2723" spans="9:10" x14ac:dyDescent="0.25">
      <c r="I2723" s="51"/>
      <c r="J2723" s="51"/>
    </row>
    <row r="2724" spans="9:10" x14ac:dyDescent="0.25">
      <c r="I2724" s="51"/>
      <c r="J2724" s="51"/>
    </row>
    <row r="2725" spans="9:10" x14ac:dyDescent="0.25">
      <c r="I2725" s="51"/>
      <c r="J2725" s="51"/>
    </row>
    <row r="2726" spans="9:10" x14ac:dyDescent="0.25">
      <c r="I2726" s="51"/>
      <c r="J2726" s="51"/>
    </row>
    <row r="2727" spans="9:10" x14ac:dyDescent="0.25">
      <c r="I2727" s="51"/>
      <c r="J2727" s="51"/>
    </row>
    <row r="2728" spans="9:10" x14ac:dyDescent="0.25">
      <c r="I2728" s="51"/>
      <c r="J2728" s="51"/>
    </row>
    <row r="2729" spans="9:10" x14ac:dyDescent="0.25">
      <c r="I2729" s="51"/>
      <c r="J2729" s="51"/>
    </row>
    <row r="2730" spans="9:10" x14ac:dyDescent="0.25">
      <c r="I2730" s="51"/>
      <c r="J2730" s="51"/>
    </row>
    <row r="2731" spans="9:10" x14ac:dyDescent="0.25">
      <c r="I2731" s="51"/>
      <c r="J2731" s="51"/>
    </row>
    <row r="2732" spans="9:10" x14ac:dyDescent="0.25">
      <c r="I2732" s="51"/>
      <c r="J2732" s="51"/>
    </row>
    <row r="2733" spans="9:10" x14ac:dyDescent="0.25">
      <c r="I2733" s="51"/>
      <c r="J2733" s="51"/>
    </row>
    <row r="2734" spans="9:10" x14ac:dyDescent="0.25">
      <c r="I2734" s="51"/>
      <c r="J2734" s="51"/>
    </row>
    <row r="2735" spans="9:10" x14ac:dyDescent="0.25">
      <c r="I2735" s="51"/>
      <c r="J2735" s="51"/>
    </row>
    <row r="2736" spans="9:10" x14ac:dyDescent="0.25">
      <c r="I2736" s="51"/>
      <c r="J2736" s="51"/>
    </row>
    <row r="2737" spans="9:10" x14ac:dyDescent="0.25">
      <c r="I2737" s="51"/>
      <c r="J2737" s="51"/>
    </row>
    <row r="2738" spans="9:10" x14ac:dyDescent="0.25">
      <c r="I2738" s="51"/>
      <c r="J2738" s="51"/>
    </row>
    <row r="2739" spans="9:10" x14ac:dyDescent="0.25">
      <c r="I2739" s="51"/>
      <c r="J2739" s="51"/>
    </row>
    <row r="2740" spans="9:10" x14ac:dyDescent="0.25">
      <c r="I2740" s="51"/>
      <c r="J2740" s="51"/>
    </row>
    <row r="2741" spans="9:10" x14ac:dyDescent="0.25">
      <c r="I2741" s="51"/>
      <c r="J2741" s="51"/>
    </row>
    <row r="2742" spans="9:10" x14ac:dyDescent="0.25">
      <c r="I2742" s="51"/>
      <c r="J2742" s="51"/>
    </row>
    <row r="2743" spans="9:10" x14ac:dyDescent="0.25">
      <c r="I2743" s="51"/>
      <c r="J2743" s="51"/>
    </row>
    <row r="2744" spans="9:10" x14ac:dyDescent="0.25">
      <c r="I2744" s="51"/>
      <c r="J2744" s="51"/>
    </row>
    <row r="2745" spans="9:10" x14ac:dyDescent="0.25">
      <c r="I2745" s="51"/>
      <c r="J2745" s="51"/>
    </row>
    <row r="2746" spans="9:10" x14ac:dyDescent="0.25">
      <c r="I2746" s="51"/>
      <c r="J2746" s="51"/>
    </row>
    <row r="2747" spans="9:10" x14ac:dyDescent="0.25">
      <c r="I2747" s="51"/>
      <c r="J2747" s="51"/>
    </row>
    <row r="2748" spans="9:10" x14ac:dyDescent="0.25">
      <c r="I2748" s="51"/>
      <c r="J2748" s="51"/>
    </row>
    <row r="2749" spans="9:10" x14ac:dyDescent="0.25">
      <c r="I2749" s="51"/>
      <c r="J2749" s="51"/>
    </row>
    <row r="2750" spans="9:10" x14ac:dyDescent="0.25">
      <c r="I2750" s="51"/>
      <c r="J2750" s="51"/>
    </row>
    <row r="2751" spans="9:10" x14ac:dyDescent="0.25">
      <c r="I2751" s="51"/>
      <c r="J2751" s="51"/>
    </row>
    <row r="2752" spans="9:10" x14ac:dyDescent="0.25">
      <c r="I2752" s="51"/>
      <c r="J2752" s="51"/>
    </row>
    <row r="2753" spans="9:10" x14ac:dyDescent="0.25">
      <c r="I2753" s="51"/>
      <c r="J2753" s="51"/>
    </row>
    <row r="2754" spans="9:10" x14ac:dyDescent="0.25">
      <c r="I2754" s="51"/>
      <c r="J2754" s="51"/>
    </row>
    <row r="2755" spans="9:10" x14ac:dyDescent="0.25">
      <c r="I2755" s="51"/>
      <c r="J2755" s="51"/>
    </row>
    <row r="2756" spans="9:10" x14ac:dyDescent="0.25">
      <c r="I2756" s="51"/>
      <c r="J2756" s="51"/>
    </row>
    <row r="2757" spans="9:10" x14ac:dyDescent="0.25">
      <c r="I2757" s="51"/>
      <c r="J2757" s="51"/>
    </row>
    <row r="2758" spans="9:10" x14ac:dyDescent="0.25">
      <c r="I2758" s="51"/>
      <c r="J2758" s="51"/>
    </row>
    <row r="2759" spans="9:10" x14ac:dyDescent="0.25">
      <c r="I2759" s="51"/>
      <c r="J2759" s="51"/>
    </row>
    <row r="2760" spans="9:10" x14ac:dyDescent="0.25">
      <c r="I2760" s="51"/>
      <c r="J2760" s="51"/>
    </row>
    <row r="2761" spans="9:10" x14ac:dyDescent="0.25">
      <c r="I2761" s="51"/>
      <c r="J2761" s="51"/>
    </row>
    <row r="2762" spans="9:10" x14ac:dyDescent="0.25">
      <c r="I2762" s="51"/>
      <c r="J2762" s="51"/>
    </row>
    <row r="2763" spans="9:10" x14ac:dyDescent="0.25">
      <c r="I2763" s="51"/>
      <c r="J2763" s="51"/>
    </row>
    <row r="2764" spans="9:10" x14ac:dyDescent="0.25">
      <c r="I2764" s="51"/>
      <c r="J2764" s="51"/>
    </row>
    <row r="2765" spans="9:10" x14ac:dyDescent="0.25">
      <c r="I2765" s="51"/>
      <c r="J2765" s="51"/>
    </row>
    <row r="2766" spans="9:10" x14ac:dyDescent="0.25">
      <c r="I2766" s="51"/>
      <c r="J2766" s="51"/>
    </row>
    <row r="2767" spans="9:10" x14ac:dyDescent="0.25">
      <c r="I2767" s="51"/>
      <c r="J2767" s="51"/>
    </row>
    <row r="2768" spans="9:10" x14ac:dyDescent="0.25">
      <c r="I2768" s="51"/>
      <c r="J2768" s="51"/>
    </row>
    <row r="2769" spans="9:10" x14ac:dyDescent="0.25">
      <c r="I2769" s="51"/>
      <c r="J2769" s="51"/>
    </row>
    <row r="2770" spans="9:10" x14ac:dyDescent="0.25">
      <c r="I2770" s="51"/>
      <c r="J2770" s="51"/>
    </row>
    <row r="2771" spans="9:10" x14ac:dyDescent="0.25">
      <c r="I2771" s="51"/>
      <c r="J2771" s="51"/>
    </row>
    <row r="2772" spans="9:10" x14ac:dyDescent="0.25">
      <c r="I2772" s="51"/>
      <c r="J2772" s="51"/>
    </row>
    <row r="2773" spans="9:10" x14ac:dyDescent="0.25">
      <c r="I2773" s="51"/>
      <c r="J2773" s="51"/>
    </row>
    <row r="2774" spans="9:10" x14ac:dyDescent="0.25">
      <c r="I2774" s="51"/>
      <c r="J2774" s="51"/>
    </row>
    <row r="2775" spans="9:10" x14ac:dyDescent="0.25">
      <c r="I2775" s="51"/>
      <c r="J2775" s="51"/>
    </row>
    <row r="2776" spans="9:10" x14ac:dyDescent="0.25">
      <c r="I2776" s="51"/>
      <c r="J2776" s="51"/>
    </row>
    <row r="2777" spans="9:10" x14ac:dyDescent="0.25">
      <c r="I2777" s="51"/>
      <c r="J2777" s="51"/>
    </row>
    <row r="2778" spans="9:10" x14ac:dyDescent="0.25">
      <c r="I2778" s="51"/>
      <c r="J2778" s="51"/>
    </row>
    <row r="2779" spans="9:10" x14ac:dyDescent="0.25">
      <c r="I2779" s="51"/>
      <c r="J2779" s="51"/>
    </row>
    <row r="2780" spans="9:10" x14ac:dyDescent="0.25">
      <c r="I2780" s="51"/>
      <c r="J2780" s="51"/>
    </row>
    <row r="2781" spans="9:10" x14ac:dyDescent="0.25">
      <c r="I2781" s="51"/>
      <c r="J2781" s="51"/>
    </row>
    <row r="2782" spans="9:10" x14ac:dyDescent="0.25">
      <c r="I2782" s="51"/>
      <c r="J2782" s="51"/>
    </row>
    <row r="2783" spans="9:10" x14ac:dyDescent="0.25">
      <c r="I2783" s="51"/>
      <c r="J2783" s="51"/>
    </row>
    <row r="2784" spans="9:10" x14ac:dyDescent="0.25">
      <c r="I2784" s="51"/>
      <c r="J2784" s="51"/>
    </row>
    <row r="2785" spans="9:10" x14ac:dyDescent="0.25">
      <c r="I2785" s="51"/>
      <c r="J2785" s="51"/>
    </row>
    <row r="2786" spans="9:10" x14ac:dyDescent="0.25">
      <c r="I2786" s="51"/>
      <c r="J2786" s="51"/>
    </row>
    <row r="2787" spans="9:10" x14ac:dyDescent="0.25">
      <c r="I2787" s="51"/>
      <c r="J2787" s="51"/>
    </row>
    <row r="2788" spans="9:10" x14ac:dyDescent="0.25">
      <c r="I2788" s="51"/>
      <c r="J2788" s="51"/>
    </row>
    <row r="2789" spans="9:10" x14ac:dyDescent="0.25">
      <c r="I2789" s="51"/>
      <c r="J2789" s="51"/>
    </row>
    <row r="2790" spans="9:10" x14ac:dyDescent="0.25">
      <c r="I2790" s="51"/>
      <c r="J2790" s="51"/>
    </row>
    <row r="2791" spans="9:10" x14ac:dyDescent="0.25">
      <c r="I2791" s="51"/>
      <c r="J2791" s="51"/>
    </row>
    <row r="2792" spans="9:10" x14ac:dyDescent="0.25">
      <c r="I2792" s="51"/>
      <c r="J2792" s="51"/>
    </row>
    <row r="2793" spans="9:10" x14ac:dyDescent="0.25">
      <c r="I2793" s="51"/>
      <c r="J2793" s="51"/>
    </row>
    <row r="2794" spans="9:10" x14ac:dyDescent="0.25">
      <c r="I2794" s="51"/>
      <c r="J2794" s="51"/>
    </row>
    <row r="2795" spans="9:10" x14ac:dyDescent="0.25">
      <c r="I2795" s="51"/>
      <c r="J2795" s="51"/>
    </row>
    <row r="2796" spans="9:10" x14ac:dyDescent="0.25">
      <c r="I2796" s="51"/>
      <c r="J2796" s="51"/>
    </row>
    <row r="2797" spans="9:10" x14ac:dyDescent="0.25">
      <c r="I2797" s="51"/>
      <c r="J2797" s="51"/>
    </row>
    <row r="2798" spans="9:10" x14ac:dyDescent="0.25">
      <c r="I2798" s="51"/>
      <c r="J2798" s="51"/>
    </row>
    <row r="2799" spans="9:10" x14ac:dyDescent="0.25">
      <c r="I2799" s="51"/>
      <c r="J2799" s="51"/>
    </row>
    <row r="2800" spans="9:10" x14ac:dyDescent="0.25">
      <c r="I2800" s="51"/>
      <c r="J2800" s="51"/>
    </row>
    <row r="2801" spans="9:10" x14ac:dyDescent="0.25">
      <c r="I2801" s="51"/>
      <c r="J2801" s="51"/>
    </row>
    <row r="2802" spans="9:10" x14ac:dyDescent="0.25">
      <c r="I2802" s="51"/>
      <c r="J2802" s="51"/>
    </row>
    <row r="2803" spans="9:10" x14ac:dyDescent="0.25">
      <c r="I2803" s="51"/>
      <c r="J2803" s="51"/>
    </row>
    <row r="2804" spans="9:10" x14ac:dyDescent="0.25">
      <c r="I2804" s="51"/>
      <c r="J2804" s="51"/>
    </row>
    <row r="2805" spans="9:10" x14ac:dyDescent="0.25">
      <c r="I2805" s="51"/>
      <c r="J2805" s="51"/>
    </row>
    <row r="2806" spans="9:10" x14ac:dyDescent="0.25">
      <c r="I2806" s="51"/>
      <c r="J2806" s="51"/>
    </row>
    <row r="2807" spans="9:10" x14ac:dyDescent="0.25">
      <c r="I2807" s="51"/>
      <c r="J2807" s="51"/>
    </row>
    <row r="2808" spans="9:10" x14ac:dyDescent="0.25">
      <c r="I2808" s="51"/>
      <c r="J2808" s="51"/>
    </row>
    <row r="2809" spans="9:10" x14ac:dyDescent="0.25">
      <c r="I2809" s="51"/>
      <c r="J2809" s="51"/>
    </row>
    <row r="2810" spans="9:10" x14ac:dyDescent="0.25">
      <c r="I2810" s="51"/>
      <c r="J2810" s="51"/>
    </row>
    <row r="2811" spans="9:10" x14ac:dyDescent="0.25">
      <c r="I2811" s="51"/>
      <c r="J2811" s="51"/>
    </row>
    <row r="2812" spans="9:10" x14ac:dyDescent="0.25">
      <c r="I2812" s="51"/>
      <c r="J2812" s="51"/>
    </row>
    <row r="2813" spans="9:10" x14ac:dyDescent="0.25">
      <c r="I2813" s="51"/>
      <c r="J2813" s="51"/>
    </row>
    <row r="2814" spans="9:10" x14ac:dyDescent="0.25">
      <c r="I2814" s="51"/>
      <c r="J2814" s="51"/>
    </row>
    <row r="2815" spans="9:10" x14ac:dyDescent="0.25">
      <c r="I2815" s="51"/>
      <c r="J2815" s="51"/>
    </row>
    <row r="2816" spans="9:10" x14ac:dyDescent="0.25">
      <c r="I2816" s="51"/>
      <c r="J2816" s="51"/>
    </row>
    <row r="2817" spans="9:10" x14ac:dyDescent="0.25">
      <c r="I2817" s="51"/>
      <c r="J2817" s="51"/>
    </row>
    <row r="2818" spans="9:10" x14ac:dyDescent="0.25">
      <c r="I2818" s="51"/>
      <c r="J2818" s="51"/>
    </row>
    <row r="2819" spans="9:10" x14ac:dyDescent="0.25">
      <c r="I2819" s="51"/>
      <c r="J2819" s="51"/>
    </row>
    <row r="2820" spans="9:10" x14ac:dyDescent="0.25">
      <c r="I2820" s="51"/>
      <c r="J2820" s="51"/>
    </row>
    <row r="2821" spans="9:10" x14ac:dyDescent="0.25">
      <c r="I2821" s="51"/>
      <c r="J2821" s="51"/>
    </row>
    <row r="2822" spans="9:10" x14ac:dyDescent="0.25">
      <c r="I2822" s="51"/>
      <c r="J2822" s="51"/>
    </row>
    <row r="2823" spans="9:10" x14ac:dyDescent="0.25">
      <c r="I2823" s="51"/>
      <c r="J2823" s="51"/>
    </row>
    <row r="2824" spans="9:10" x14ac:dyDescent="0.25">
      <c r="I2824" s="51"/>
      <c r="J2824" s="51"/>
    </row>
    <row r="2825" spans="9:10" x14ac:dyDescent="0.25">
      <c r="I2825" s="51"/>
      <c r="J2825" s="51"/>
    </row>
    <row r="2826" spans="9:10" x14ac:dyDescent="0.25">
      <c r="I2826" s="51"/>
      <c r="J2826" s="51"/>
    </row>
    <row r="2827" spans="9:10" x14ac:dyDescent="0.25">
      <c r="I2827" s="51"/>
      <c r="J2827" s="51"/>
    </row>
    <row r="2828" spans="9:10" x14ac:dyDescent="0.25">
      <c r="I2828" s="51"/>
      <c r="J2828" s="51"/>
    </row>
    <row r="2829" spans="9:10" x14ac:dyDescent="0.25">
      <c r="I2829" s="51"/>
      <c r="J2829" s="51"/>
    </row>
    <row r="2830" spans="9:10" x14ac:dyDescent="0.25">
      <c r="I2830" s="51"/>
      <c r="J2830" s="51"/>
    </row>
    <row r="2831" spans="9:10" x14ac:dyDescent="0.25">
      <c r="I2831" s="51"/>
      <c r="J2831" s="51"/>
    </row>
    <row r="2832" spans="9:10" x14ac:dyDescent="0.25">
      <c r="I2832" s="51"/>
      <c r="J2832" s="51"/>
    </row>
    <row r="2833" spans="9:10" x14ac:dyDescent="0.25">
      <c r="I2833" s="51"/>
      <c r="J2833" s="51"/>
    </row>
    <row r="2834" spans="9:10" x14ac:dyDescent="0.25">
      <c r="I2834" s="51"/>
      <c r="J2834" s="51"/>
    </row>
    <row r="2835" spans="9:10" x14ac:dyDescent="0.25">
      <c r="I2835" s="51"/>
      <c r="J2835" s="51"/>
    </row>
    <row r="2836" spans="9:10" x14ac:dyDescent="0.25">
      <c r="I2836" s="51"/>
      <c r="J2836" s="51"/>
    </row>
    <row r="2837" spans="9:10" x14ac:dyDescent="0.25">
      <c r="I2837" s="51"/>
      <c r="J2837" s="51"/>
    </row>
    <row r="2838" spans="9:10" x14ac:dyDescent="0.25">
      <c r="I2838" s="51"/>
      <c r="J2838" s="51"/>
    </row>
    <row r="2839" spans="9:10" x14ac:dyDescent="0.25">
      <c r="I2839" s="51"/>
      <c r="J2839" s="51"/>
    </row>
    <row r="2840" spans="9:10" x14ac:dyDescent="0.25">
      <c r="I2840" s="51"/>
      <c r="J2840" s="51"/>
    </row>
    <row r="2841" spans="9:10" x14ac:dyDescent="0.25">
      <c r="I2841" s="51"/>
      <c r="J2841" s="51"/>
    </row>
    <row r="2842" spans="9:10" x14ac:dyDescent="0.25">
      <c r="I2842" s="51"/>
      <c r="J2842" s="51"/>
    </row>
    <row r="2843" spans="9:10" x14ac:dyDescent="0.25">
      <c r="I2843" s="51"/>
      <c r="J2843" s="51"/>
    </row>
    <row r="2844" spans="9:10" x14ac:dyDescent="0.25">
      <c r="I2844" s="51"/>
      <c r="J2844" s="51"/>
    </row>
    <row r="2845" spans="9:10" x14ac:dyDescent="0.25">
      <c r="I2845" s="51"/>
      <c r="J2845" s="51"/>
    </row>
    <row r="2846" spans="9:10" x14ac:dyDescent="0.25">
      <c r="I2846" s="51"/>
      <c r="J2846" s="51"/>
    </row>
    <row r="2847" spans="9:10" x14ac:dyDescent="0.25">
      <c r="I2847" s="51"/>
      <c r="J2847" s="51"/>
    </row>
    <row r="2848" spans="9:10" x14ac:dyDescent="0.25">
      <c r="I2848" s="51"/>
      <c r="J2848" s="51"/>
    </row>
    <row r="2849" spans="9:10" x14ac:dyDescent="0.25">
      <c r="I2849" s="51"/>
      <c r="J2849" s="51"/>
    </row>
    <row r="2850" spans="9:10" x14ac:dyDescent="0.25">
      <c r="I2850" s="51"/>
      <c r="J2850" s="51"/>
    </row>
    <row r="2851" spans="9:10" x14ac:dyDescent="0.25">
      <c r="I2851" s="51"/>
      <c r="J2851" s="51"/>
    </row>
    <row r="2852" spans="9:10" x14ac:dyDescent="0.25">
      <c r="I2852" s="51"/>
      <c r="J2852" s="51"/>
    </row>
    <row r="2853" spans="9:10" x14ac:dyDescent="0.25">
      <c r="I2853" s="51"/>
      <c r="J2853" s="51"/>
    </row>
    <row r="2854" spans="9:10" x14ac:dyDescent="0.25">
      <c r="I2854" s="51"/>
      <c r="J2854" s="51"/>
    </row>
    <row r="2855" spans="9:10" x14ac:dyDescent="0.25">
      <c r="I2855" s="51"/>
      <c r="J2855" s="51"/>
    </row>
    <row r="2856" spans="9:10" x14ac:dyDescent="0.25">
      <c r="I2856" s="51"/>
      <c r="J2856" s="51"/>
    </row>
    <row r="2857" spans="9:10" x14ac:dyDescent="0.25">
      <c r="I2857" s="51"/>
      <c r="J2857" s="51"/>
    </row>
    <row r="2858" spans="9:10" x14ac:dyDescent="0.25">
      <c r="I2858" s="51"/>
      <c r="J2858" s="51"/>
    </row>
    <row r="2859" spans="9:10" x14ac:dyDescent="0.25">
      <c r="I2859" s="51"/>
      <c r="J2859" s="51"/>
    </row>
    <row r="2860" spans="9:10" x14ac:dyDescent="0.25">
      <c r="I2860" s="51"/>
      <c r="J2860" s="51"/>
    </row>
    <row r="2861" spans="9:10" x14ac:dyDescent="0.25">
      <c r="I2861" s="51"/>
      <c r="J2861" s="51"/>
    </row>
    <row r="2862" spans="9:10" x14ac:dyDescent="0.25">
      <c r="I2862" s="51"/>
      <c r="J2862" s="51"/>
    </row>
    <row r="2863" spans="9:10" x14ac:dyDescent="0.25">
      <c r="I2863" s="51"/>
      <c r="J2863" s="51"/>
    </row>
    <row r="2864" spans="9:10" x14ac:dyDescent="0.25">
      <c r="I2864" s="51"/>
      <c r="J2864" s="51"/>
    </row>
    <row r="2865" spans="9:10" x14ac:dyDescent="0.25">
      <c r="I2865" s="51"/>
      <c r="J2865" s="51"/>
    </row>
    <row r="2866" spans="9:10" x14ac:dyDescent="0.25">
      <c r="I2866" s="51"/>
      <c r="J2866" s="51"/>
    </row>
    <row r="2867" spans="9:10" x14ac:dyDescent="0.25">
      <c r="I2867" s="51"/>
      <c r="J2867" s="51"/>
    </row>
    <row r="2868" spans="9:10" x14ac:dyDescent="0.25">
      <c r="I2868" s="51"/>
      <c r="J2868" s="51"/>
    </row>
    <row r="2869" spans="9:10" x14ac:dyDescent="0.25">
      <c r="I2869" s="51"/>
      <c r="J2869" s="51"/>
    </row>
    <row r="2870" spans="9:10" x14ac:dyDescent="0.25">
      <c r="I2870" s="51"/>
      <c r="J2870" s="51"/>
    </row>
    <row r="2871" spans="9:10" x14ac:dyDescent="0.25">
      <c r="I2871" s="51"/>
      <c r="J2871" s="51"/>
    </row>
    <row r="2872" spans="9:10" x14ac:dyDescent="0.25">
      <c r="I2872" s="51"/>
      <c r="J2872" s="51"/>
    </row>
    <row r="2873" spans="9:10" x14ac:dyDescent="0.25">
      <c r="I2873" s="51"/>
      <c r="J2873" s="51"/>
    </row>
    <row r="2874" spans="9:10" x14ac:dyDescent="0.25">
      <c r="I2874" s="51"/>
      <c r="J2874" s="51"/>
    </row>
    <row r="2875" spans="9:10" x14ac:dyDescent="0.25">
      <c r="I2875" s="51"/>
      <c r="J2875" s="51"/>
    </row>
    <row r="2876" spans="9:10" x14ac:dyDescent="0.25">
      <c r="I2876" s="51"/>
      <c r="J2876" s="51"/>
    </row>
    <row r="2877" spans="9:10" x14ac:dyDescent="0.25">
      <c r="I2877" s="51"/>
      <c r="J2877" s="51"/>
    </row>
    <row r="2878" spans="9:10" x14ac:dyDescent="0.25">
      <c r="I2878" s="51"/>
      <c r="J2878" s="51"/>
    </row>
    <row r="2879" spans="9:10" x14ac:dyDescent="0.25">
      <c r="I2879" s="51"/>
      <c r="J2879" s="51"/>
    </row>
    <row r="2880" spans="9:10" x14ac:dyDescent="0.25">
      <c r="I2880" s="51"/>
      <c r="J2880" s="51"/>
    </row>
    <row r="2881" spans="9:10" x14ac:dyDescent="0.25">
      <c r="I2881" s="51"/>
      <c r="J2881" s="51"/>
    </row>
    <row r="2882" spans="9:10" x14ac:dyDescent="0.25">
      <c r="I2882" s="51"/>
      <c r="J2882" s="51"/>
    </row>
    <row r="2883" spans="9:10" x14ac:dyDescent="0.25">
      <c r="I2883" s="51"/>
      <c r="J2883" s="51"/>
    </row>
    <row r="2884" spans="9:10" x14ac:dyDescent="0.25">
      <c r="I2884" s="51"/>
      <c r="J2884" s="51"/>
    </row>
    <row r="2885" spans="9:10" x14ac:dyDescent="0.25">
      <c r="I2885" s="51"/>
      <c r="J2885" s="51"/>
    </row>
    <row r="2886" spans="9:10" x14ac:dyDescent="0.25">
      <c r="I2886" s="51"/>
      <c r="J2886" s="51"/>
    </row>
    <row r="2887" spans="9:10" x14ac:dyDescent="0.25">
      <c r="I2887" s="51"/>
      <c r="J2887" s="51"/>
    </row>
    <row r="2888" spans="9:10" x14ac:dyDescent="0.25">
      <c r="I2888" s="51"/>
      <c r="J2888" s="51"/>
    </row>
    <row r="2889" spans="9:10" x14ac:dyDescent="0.25">
      <c r="I2889" s="51"/>
      <c r="J2889" s="51"/>
    </row>
    <row r="2890" spans="9:10" x14ac:dyDescent="0.25">
      <c r="I2890" s="51"/>
      <c r="J2890" s="51"/>
    </row>
    <row r="2891" spans="9:10" x14ac:dyDescent="0.25">
      <c r="I2891" s="51"/>
      <c r="J2891" s="51"/>
    </row>
    <row r="2892" spans="9:10" x14ac:dyDescent="0.25">
      <c r="I2892" s="51"/>
      <c r="J2892" s="51"/>
    </row>
    <row r="2893" spans="9:10" x14ac:dyDescent="0.25">
      <c r="I2893" s="51"/>
      <c r="J2893" s="51"/>
    </row>
    <row r="2894" spans="9:10" x14ac:dyDescent="0.25">
      <c r="I2894" s="51"/>
      <c r="J2894" s="51"/>
    </row>
    <row r="2895" spans="9:10" x14ac:dyDescent="0.25">
      <c r="I2895" s="51"/>
      <c r="J2895" s="51"/>
    </row>
    <row r="2896" spans="9:10" x14ac:dyDescent="0.25">
      <c r="I2896" s="51"/>
      <c r="J2896" s="51"/>
    </row>
    <row r="2897" spans="9:10" x14ac:dyDescent="0.25">
      <c r="I2897" s="51"/>
      <c r="J2897" s="51"/>
    </row>
    <row r="2898" spans="9:10" x14ac:dyDescent="0.25">
      <c r="I2898" s="51"/>
      <c r="J2898" s="51"/>
    </row>
    <row r="2899" spans="9:10" x14ac:dyDescent="0.25">
      <c r="I2899" s="51"/>
      <c r="J2899" s="51"/>
    </row>
    <row r="2900" spans="9:10" x14ac:dyDescent="0.25">
      <c r="I2900" s="51"/>
      <c r="J2900" s="51"/>
    </row>
    <row r="2901" spans="9:10" x14ac:dyDescent="0.25">
      <c r="I2901" s="51"/>
      <c r="J2901" s="51"/>
    </row>
    <row r="2902" spans="9:10" x14ac:dyDescent="0.25">
      <c r="I2902" s="51"/>
      <c r="J2902" s="51"/>
    </row>
    <row r="2903" spans="9:10" x14ac:dyDescent="0.25">
      <c r="I2903" s="51"/>
      <c r="J2903" s="51"/>
    </row>
    <row r="2904" spans="9:10" x14ac:dyDescent="0.25">
      <c r="I2904" s="51"/>
      <c r="J2904" s="51"/>
    </row>
    <row r="2905" spans="9:10" x14ac:dyDescent="0.25">
      <c r="I2905" s="51"/>
      <c r="J2905" s="51"/>
    </row>
    <row r="2906" spans="9:10" x14ac:dyDescent="0.25">
      <c r="I2906" s="51"/>
      <c r="J2906" s="51"/>
    </row>
    <row r="2907" spans="9:10" x14ac:dyDescent="0.25">
      <c r="I2907" s="51"/>
      <c r="J2907" s="51"/>
    </row>
    <row r="2908" spans="9:10" x14ac:dyDescent="0.25">
      <c r="I2908" s="51"/>
      <c r="J2908" s="51"/>
    </row>
    <row r="2909" spans="9:10" x14ac:dyDescent="0.25">
      <c r="I2909" s="51"/>
      <c r="J2909" s="51"/>
    </row>
    <row r="2910" spans="9:10" x14ac:dyDescent="0.25">
      <c r="I2910" s="51"/>
      <c r="J2910" s="51"/>
    </row>
    <row r="2911" spans="9:10" x14ac:dyDescent="0.25">
      <c r="I2911" s="51"/>
      <c r="J2911" s="51"/>
    </row>
    <row r="2912" spans="9:10" x14ac:dyDescent="0.25">
      <c r="I2912" s="51"/>
      <c r="J2912" s="51"/>
    </row>
    <row r="2913" spans="9:10" x14ac:dyDescent="0.25">
      <c r="I2913" s="51"/>
      <c r="J2913" s="51"/>
    </row>
    <row r="2914" spans="9:10" x14ac:dyDescent="0.25">
      <c r="I2914" s="51"/>
      <c r="J2914" s="51"/>
    </row>
    <row r="2915" spans="9:10" x14ac:dyDescent="0.25">
      <c r="I2915" s="51"/>
      <c r="J2915" s="51"/>
    </row>
    <row r="2916" spans="9:10" x14ac:dyDescent="0.25">
      <c r="I2916" s="51"/>
      <c r="J2916" s="51"/>
    </row>
    <row r="2917" spans="9:10" x14ac:dyDescent="0.25">
      <c r="I2917" s="51"/>
      <c r="J2917" s="51"/>
    </row>
    <row r="2918" spans="9:10" x14ac:dyDescent="0.25">
      <c r="I2918" s="51"/>
      <c r="J2918" s="51"/>
    </row>
    <row r="2919" spans="9:10" x14ac:dyDescent="0.25">
      <c r="I2919" s="51"/>
      <c r="J2919" s="51"/>
    </row>
    <row r="2920" spans="9:10" x14ac:dyDescent="0.25">
      <c r="I2920" s="51"/>
      <c r="J2920" s="51"/>
    </row>
    <row r="2921" spans="9:10" x14ac:dyDescent="0.25">
      <c r="I2921" s="51"/>
      <c r="J2921" s="51"/>
    </row>
    <row r="2922" spans="9:10" x14ac:dyDescent="0.25">
      <c r="I2922" s="51"/>
      <c r="J2922" s="51"/>
    </row>
    <row r="2923" spans="9:10" x14ac:dyDescent="0.25">
      <c r="I2923" s="51"/>
      <c r="J2923" s="51"/>
    </row>
    <row r="2924" spans="9:10" x14ac:dyDescent="0.25">
      <c r="I2924" s="51"/>
      <c r="J2924" s="51"/>
    </row>
    <row r="2925" spans="9:10" x14ac:dyDescent="0.25">
      <c r="I2925" s="51"/>
      <c r="J2925" s="51"/>
    </row>
    <row r="2926" spans="9:10" x14ac:dyDescent="0.25">
      <c r="I2926" s="51"/>
      <c r="J2926" s="51"/>
    </row>
    <row r="2927" spans="9:10" x14ac:dyDescent="0.25">
      <c r="I2927" s="51"/>
      <c r="J2927" s="51"/>
    </row>
    <row r="2928" spans="9:10" x14ac:dyDescent="0.25">
      <c r="I2928" s="51"/>
      <c r="J2928" s="51"/>
    </row>
    <row r="2929" spans="9:10" x14ac:dyDescent="0.25">
      <c r="I2929" s="51"/>
      <c r="J2929" s="51"/>
    </row>
    <row r="2930" spans="9:10" x14ac:dyDescent="0.25">
      <c r="I2930" s="51"/>
      <c r="J2930" s="51"/>
    </row>
    <row r="2931" spans="9:10" x14ac:dyDescent="0.25">
      <c r="I2931" s="51"/>
      <c r="J2931" s="51"/>
    </row>
    <row r="2932" spans="9:10" x14ac:dyDescent="0.25">
      <c r="I2932" s="51"/>
      <c r="J2932" s="51"/>
    </row>
    <row r="2933" spans="9:10" x14ac:dyDescent="0.25">
      <c r="I2933" s="51"/>
      <c r="J2933" s="51"/>
    </row>
    <row r="2934" spans="9:10" x14ac:dyDescent="0.25">
      <c r="I2934" s="51"/>
      <c r="J2934" s="51"/>
    </row>
    <row r="2935" spans="9:10" x14ac:dyDescent="0.25">
      <c r="I2935" s="51"/>
      <c r="J2935" s="51"/>
    </row>
    <row r="2936" spans="9:10" x14ac:dyDescent="0.25">
      <c r="I2936" s="51"/>
      <c r="J2936" s="51"/>
    </row>
    <row r="2937" spans="9:10" x14ac:dyDescent="0.25">
      <c r="I2937" s="51"/>
      <c r="J2937" s="51"/>
    </row>
    <row r="2938" spans="9:10" x14ac:dyDescent="0.25">
      <c r="I2938" s="51"/>
      <c r="J2938" s="51"/>
    </row>
    <row r="2939" spans="9:10" x14ac:dyDescent="0.25">
      <c r="I2939" s="51"/>
      <c r="J2939" s="51"/>
    </row>
    <row r="2940" spans="9:10" x14ac:dyDescent="0.25">
      <c r="I2940" s="51"/>
      <c r="J2940" s="51"/>
    </row>
    <row r="2941" spans="9:10" x14ac:dyDescent="0.25">
      <c r="I2941" s="51"/>
      <c r="J2941" s="51"/>
    </row>
    <row r="2942" spans="9:10" x14ac:dyDescent="0.25">
      <c r="I2942" s="51"/>
      <c r="J2942" s="51"/>
    </row>
    <row r="2943" spans="9:10" x14ac:dyDescent="0.25">
      <c r="I2943" s="51"/>
      <c r="J2943" s="51"/>
    </row>
    <row r="2944" spans="9:10" x14ac:dyDescent="0.25">
      <c r="I2944" s="51"/>
      <c r="J2944" s="51"/>
    </row>
    <row r="2945" spans="9:10" x14ac:dyDescent="0.25">
      <c r="I2945" s="51"/>
      <c r="J2945" s="51"/>
    </row>
    <row r="2946" spans="9:10" x14ac:dyDescent="0.25">
      <c r="I2946" s="51"/>
      <c r="J2946" s="51"/>
    </row>
    <row r="2947" spans="9:10" x14ac:dyDescent="0.25">
      <c r="I2947" s="51"/>
      <c r="J2947" s="51"/>
    </row>
    <row r="2948" spans="9:10" x14ac:dyDescent="0.25">
      <c r="I2948" s="51"/>
      <c r="J2948" s="51"/>
    </row>
    <row r="2949" spans="9:10" x14ac:dyDescent="0.25">
      <c r="I2949" s="51"/>
      <c r="J2949" s="51"/>
    </row>
    <row r="2950" spans="9:10" x14ac:dyDescent="0.25">
      <c r="I2950" s="51"/>
      <c r="J2950" s="51"/>
    </row>
    <row r="2951" spans="9:10" x14ac:dyDescent="0.25">
      <c r="I2951" s="51"/>
      <c r="J2951" s="51"/>
    </row>
    <row r="2952" spans="9:10" x14ac:dyDescent="0.25">
      <c r="I2952" s="51"/>
      <c r="J2952" s="51"/>
    </row>
    <row r="2953" spans="9:10" x14ac:dyDescent="0.25">
      <c r="I2953" s="51"/>
      <c r="J2953" s="51"/>
    </row>
    <row r="2954" spans="9:10" x14ac:dyDescent="0.25">
      <c r="I2954" s="51"/>
      <c r="J2954" s="51"/>
    </row>
    <row r="2955" spans="9:10" x14ac:dyDescent="0.25">
      <c r="I2955" s="51"/>
      <c r="J2955" s="51"/>
    </row>
    <row r="2956" spans="9:10" x14ac:dyDescent="0.25">
      <c r="I2956" s="51"/>
      <c r="J2956" s="51"/>
    </row>
    <row r="2957" spans="9:10" x14ac:dyDescent="0.25">
      <c r="I2957" s="51"/>
      <c r="J2957" s="51"/>
    </row>
    <row r="2958" spans="9:10" x14ac:dyDescent="0.25">
      <c r="I2958" s="51"/>
      <c r="J2958" s="51"/>
    </row>
    <row r="2959" spans="9:10" x14ac:dyDescent="0.25">
      <c r="I2959" s="51"/>
      <c r="J2959" s="51"/>
    </row>
    <row r="2960" spans="9:10" x14ac:dyDescent="0.25">
      <c r="I2960" s="51"/>
      <c r="J2960" s="51"/>
    </row>
    <row r="2961" spans="9:10" x14ac:dyDescent="0.25">
      <c r="I2961" s="51"/>
      <c r="J2961" s="51"/>
    </row>
    <row r="2962" spans="9:10" x14ac:dyDescent="0.25">
      <c r="I2962" s="51"/>
      <c r="J2962" s="51"/>
    </row>
    <row r="2963" spans="9:10" x14ac:dyDescent="0.25">
      <c r="I2963" s="51"/>
      <c r="J2963" s="51"/>
    </row>
    <row r="2964" spans="9:10" x14ac:dyDescent="0.25">
      <c r="I2964" s="51"/>
      <c r="J2964" s="51"/>
    </row>
    <row r="2965" spans="9:10" x14ac:dyDescent="0.25">
      <c r="I2965" s="51"/>
      <c r="J2965" s="51"/>
    </row>
    <row r="2966" spans="9:10" x14ac:dyDescent="0.25">
      <c r="I2966" s="51"/>
      <c r="J2966" s="51"/>
    </row>
    <row r="2967" spans="9:10" x14ac:dyDescent="0.25">
      <c r="I2967" s="51"/>
      <c r="J2967" s="51"/>
    </row>
    <row r="2968" spans="9:10" x14ac:dyDescent="0.25">
      <c r="I2968" s="51"/>
      <c r="J2968" s="51"/>
    </row>
    <row r="2969" spans="9:10" x14ac:dyDescent="0.25">
      <c r="I2969" s="51"/>
      <c r="J2969" s="51"/>
    </row>
    <row r="2970" spans="9:10" x14ac:dyDescent="0.25">
      <c r="I2970" s="51"/>
      <c r="J2970" s="51"/>
    </row>
    <row r="2971" spans="9:10" x14ac:dyDescent="0.25">
      <c r="I2971" s="51"/>
      <c r="J2971" s="51"/>
    </row>
    <row r="2972" spans="9:10" x14ac:dyDescent="0.25">
      <c r="I2972" s="51"/>
      <c r="J2972" s="51"/>
    </row>
    <row r="2973" spans="9:10" x14ac:dyDescent="0.25">
      <c r="I2973" s="51"/>
      <c r="J2973" s="51"/>
    </row>
    <row r="2974" spans="9:10" x14ac:dyDescent="0.25">
      <c r="I2974" s="51"/>
      <c r="J2974" s="51"/>
    </row>
    <row r="2975" spans="9:10" x14ac:dyDescent="0.25">
      <c r="I2975" s="51"/>
      <c r="J2975" s="51"/>
    </row>
    <row r="2976" spans="9:10" x14ac:dyDescent="0.25">
      <c r="I2976" s="51"/>
      <c r="J2976" s="51"/>
    </row>
    <row r="2977" spans="9:10" x14ac:dyDescent="0.25">
      <c r="I2977" s="51"/>
      <c r="J2977" s="51"/>
    </row>
    <row r="2978" spans="9:10" x14ac:dyDescent="0.25">
      <c r="I2978" s="51"/>
      <c r="J2978" s="51"/>
    </row>
    <row r="2979" spans="9:10" x14ac:dyDescent="0.25">
      <c r="I2979" s="51"/>
      <c r="J2979" s="51"/>
    </row>
    <row r="2980" spans="9:10" x14ac:dyDescent="0.25">
      <c r="I2980" s="51"/>
      <c r="J2980" s="51"/>
    </row>
    <row r="2981" spans="9:10" x14ac:dyDescent="0.25">
      <c r="I2981" s="51"/>
      <c r="J2981" s="51"/>
    </row>
    <row r="2982" spans="9:10" x14ac:dyDescent="0.25">
      <c r="I2982" s="51"/>
      <c r="J2982" s="51"/>
    </row>
    <row r="2983" spans="9:10" x14ac:dyDescent="0.25">
      <c r="I2983" s="51"/>
      <c r="J2983" s="51"/>
    </row>
    <row r="2984" spans="9:10" x14ac:dyDescent="0.25">
      <c r="I2984" s="51"/>
      <c r="J2984" s="51"/>
    </row>
    <row r="2985" spans="9:10" x14ac:dyDescent="0.25">
      <c r="I2985" s="51"/>
      <c r="J2985" s="51"/>
    </row>
    <row r="2986" spans="9:10" x14ac:dyDescent="0.25">
      <c r="I2986" s="51"/>
      <c r="J2986" s="51"/>
    </row>
    <row r="2987" spans="9:10" x14ac:dyDescent="0.25">
      <c r="I2987" s="51"/>
      <c r="J2987" s="51"/>
    </row>
    <row r="2988" spans="9:10" x14ac:dyDescent="0.25">
      <c r="I2988" s="51"/>
      <c r="J2988" s="51"/>
    </row>
    <row r="2989" spans="9:10" x14ac:dyDescent="0.25">
      <c r="I2989" s="51"/>
      <c r="J2989" s="51"/>
    </row>
    <row r="2990" spans="9:10" x14ac:dyDescent="0.25">
      <c r="I2990" s="51"/>
      <c r="J2990" s="51"/>
    </row>
    <row r="2991" spans="9:10" x14ac:dyDescent="0.25">
      <c r="I2991" s="51"/>
      <c r="J2991" s="51"/>
    </row>
    <row r="2992" spans="9:10" x14ac:dyDescent="0.25">
      <c r="I2992" s="51"/>
      <c r="J2992" s="51"/>
    </row>
    <row r="2993" spans="9:10" x14ac:dyDescent="0.25">
      <c r="I2993" s="51"/>
      <c r="J2993" s="51"/>
    </row>
    <row r="2994" spans="9:10" x14ac:dyDescent="0.25">
      <c r="I2994" s="51"/>
      <c r="J2994" s="51"/>
    </row>
    <row r="2995" spans="9:10" x14ac:dyDescent="0.25">
      <c r="I2995" s="51"/>
      <c r="J2995" s="51"/>
    </row>
    <row r="2996" spans="9:10" x14ac:dyDescent="0.25">
      <c r="I2996" s="51"/>
      <c r="J2996" s="51"/>
    </row>
    <row r="2997" spans="9:10" x14ac:dyDescent="0.25">
      <c r="I2997" s="51"/>
      <c r="J2997" s="51"/>
    </row>
    <row r="2998" spans="9:10" x14ac:dyDescent="0.25">
      <c r="I2998" s="51"/>
      <c r="J2998" s="51"/>
    </row>
    <row r="2999" spans="9:10" x14ac:dyDescent="0.25">
      <c r="I2999" s="51"/>
      <c r="J2999" s="51"/>
    </row>
    <row r="3000" spans="9:10" x14ac:dyDescent="0.25">
      <c r="I3000" s="51"/>
      <c r="J3000" s="51"/>
    </row>
    <row r="3001" spans="9:10" x14ac:dyDescent="0.25">
      <c r="I3001" s="51"/>
      <c r="J3001" s="51"/>
    </row>
    <row r="3002" spans="9:10" x14ac:dyDescent="0.25">
      <c r="I3002" s="51"/>
      <c r="J3002" s="51"/>
    </row>
    <row r="3003" spans="9:10" x14ac:dyDescent="0.25">
      <c r="I3003" s="51"/>
      <c r="J3003" s="51"/>
    </row>
    <row r="3004" spans="9:10" x14ac:dyDescent="0.25">
      <c r="I3004" s="51"/>
      <c r="J3004" s="51"/>
    </row>
    <row r="3005" spans="9:10" x14ac:dyDescent="0.25">
      <c r="I3005" s="51"/>
      <c r="J3005" s="51"/>
    </row>
    <row r="3006" spans="9:10" x14ac:dyDescent="0.25">
      <c r="I3006" s="51"/>
      <c r="J3006" s="51"/>
    </row>
  </sheetData>
  <mergeCells count="16">
    <mergeCell ref="P4:P5"/>
    <mergeCell ref="Q4:Q5"/>
    <mergeCell ref="R4:R5"/>
    <mergeCell ref="T4:T5"/>
    <mergeCell ref="A1:J1"/>
    <mergeCell ref="A2:C3"/>
    <mergeCell ref="I3:J3"/>
    <mergeCell ref="A4:C4"/>
    <mergeCell ref="I4:J4"/>
    <mergeCell ref="M4:M5"/>
    <mergeCell ref="A5:C5"/>
    <mergeCell ref="A12:B12"/>
    <mergeCell ref="A13:B13"/>
    <mergeCell ref="A20:C22"/>
    <mergeCell ref="N4:N5"/>
    <mergeCell ref="O4:O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Larvae</vt:lpstr>
      <vt:lpstr>Trammel</vt:lpstr>
      <vt:lpstr>E-Fish</vt:lpstr>
      <vt:lpstr>Hoop</vt:lpstr>
      <vt:lpstr>Minnow</vt:lpstr>
      <vt:lpstr>Pond 3 Fish</vt:lpstr>
      <vt:lpstr>Scanning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Lantow, Jeffrey C</dc:creator>
  <cp:lastModifiedBy>Lantow, Jeffrey C</cp:lastModifiedBy>
  <dcterms:created xsi:type="dcterms:W3CDTF">2018-11-26T18:43:48Z</dcterms:created>
  <dcterms:modified xsi:type="dcterms:W3CDTF">2018-11-30T23:07:05Z</dcterms:modified>
</cp:coreProperties>
</file>